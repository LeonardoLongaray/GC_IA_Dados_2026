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eona\Desktop\CALDEIRA\IA &amp; Dados\GC_IA_Dados_2026\Desafio_GoT_Completo\"/>
    </mc:Choice>
  </mc:AlternateContent>
  <xr:revisionPtr revIDLastSave="0" documentId="13_ncr:1_{5574CB4B-2D69-4107-BDC0-16832BFEDDFA}" xr6:coauthVersionLast="47" xr6:coauthVersionMax="47" xr10:uidLastSave="{00000000-0000-0000-0000-000000000000}"/>
  <bookViews>
    <workbookView xWindow="-108" yWindow="-108" windowWidth="23256" windowHeight="12456" firstSheet="3" activeTab="7" xr2:uid="{AB499C60-D145-4916-9BB8-495398FC984C}"/>
  </bookViews>
  <sheets>
    <sheet name="Ex.excel01" sheetId="2" r:id="rId1"/>
    <sheet name="Ex.excel02" sheetId="3" r:id="rId2"/>
    <sheet name="Ex.excel03" sheetId="4" r:id="rId3"/>
    <sheet name="Ex.excel04" sheetId="5" r:id="rId4"/>
    <sheet name="Game_of_throne_Dados_Limpos" sheetId="1" r:id="rId5"/>
    <sheet name="Game of Throne_Dados_Brutos" sheetId="9" r:id="rId6"/>
    <sheet name="Registro_de_Limpeza" sheetId="6" r:id="rId7"/>
    <sheet name="Análise" sheetId="8" r:id="rId8"/>
  </sheets>
  <definedNames>
    <definedName name="_xlnm._FilterDatabase" localSheetId="4" hidden="1">Game_of_throne_Dados_Limpos!$A$1:$M$401</definedName>
    <definedName name="_xlnm._FilterDatabase" localSheetId="6" hidden="1">Registro_de_Limpeza!$A$1:$B$18</definedName>
  </definedNames>
  <calcPr calcId="181029"/>
  <pivotCaches>
    <pivotCache cacheId="0" r:id="rId9"/>
  </pivotCaches>
</workbook>
</file>

<file path=xl/calcChain.xml><?xml version="1.0" encoding="utf-8"?>
<calcChain xmlns="http://schemas.openxmlformats.org/spreadsheetml/2006/main">
  <c r="O401" i="1" l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K9" i="1"/>
  <c r="N9" i="1" s="1"/>
  <c r="F4" i="5"/>
  <c r="F5" i="5"/>
  <c r="F6" i="5"/>
  <c r="F7" i="5"/>
  <c r="F3" i="5"/>
  <c r="F4" i="4"/>
  <c r="G4" i="4" s="1"/>
  <c r="F5" i="4"/>
  <c r="F6" i="4"/>
  <c r="F7" i="4"/>
  <c r="G7" i="4"/>
  <c r="G6" i="4"/>
  <c r="G5" i="4"/>
  <c r="F3" i="4"/>
  <c r="G3" i="4" s="1"/>
  <c r="D8" i="3"/>
  <c r="D7" i="3"/>
  <c r="D6" i="3"/>
  <c r="D5" i="3"/>
  <c r="D4" i="3"/>
  <c r="D3" i="3"/>
  <c r="D129" i="1"/>
  <c r="D157" i="1"/>
  <c r="D244" i="1"/>
  <c r="D216" i="1"/>
  <c r="D288" i="1"/>
  <c r="D167" i="1"/>
  <c r="D166" i="1"/>
  <c r="D97" i="1"/>
  <c r="D267" i="1"/>
  <c r="D359" i="1"/>
  <c r="D387" i="1"/>
  <c r="D22" i="1"/>
  <c r="D300" i="1"/>
  <c r="D355" i="1"/>
  <c r="D295" i="1"/>
  <c r="D339" i="1"/>
  <c r="D243" i="1"/>
  <c r="D396" i="1"/>
  <c r="D248" i="1"/>
  <c r="K172" i="1"/>
  <c r="N172" i="1" s="1"/>
  <c r="K19" i="1"/>
  <c r="N19" i="1" s="1"/>
  <c r="K336" i="1"/>
  <c r="N336" i="1" s="1"/>
  <c r="K111" i="1"/>
  <c r="N111" i="1" s="1"/>
  <c r="K150" i="1"/>
  <c r="N150" i="1" s="1"/>
  <c r="K209" i="1"/>
  <c r="N209" i="1" s="1"/>
  <c r="K5" i="1"/>
  <c r="N5" i="1" s="1"/>
  <c r="K326" i="1"/>
  <c r="N326" i="1" s="1"/>
  <c r="K138" i="1"/>
  <c r="N138" i="1" s="1"/>
  <c r="K375" i="1"/>
  <c r="N375" i="1" s="1"/>
  <c r="K38" i="1"/>
  <c r="N38" i="1" s="1"/>
  <c r="K315" i="1"/>
  <c r="N315" i="1" s="1"/>
  <c r="K183" i="1"/>
  <c r="N183" i="1" s="1"/>
  <c r="K390" i="1"/>
  <c r="N390" i="1" s="1"/>
  <c r="K253" i="1"/>
  <c r="N253" i="1" s="1"/>
  <c r="K140" i="1"/>
  <c r="N140" i="1" s="1"/>
  <c r="K228" i="1"/>
  <c r="N228" i="1" s="1"/>
  <c r="K309" i="1"/>
  <c r="N309" i="1" s="1"/>
  <c r="K304" i="1"/>
  <c r="N304" i="1" s="1"/>
  <c r="K90" i="1"/>
  <c r="N90" i="1" s="1"/>
  <c r="K98" i="1"/>
  <c r="N98" i="1" s="1"/>
  <c r="K257" i="1"/>
  <c r="N257" i="1" s="1"/>
  <c r="K12" i="1"/>
  <c r="N12" i="1" s="1"/>
  <c r="K285" i="1"/>
  <c r="N285" i="1" s="1"/>
  <c r="K256" i="1"/>
  <c r="N256" i="1" s="1"/>
  <c r="K223" i="1"/>
  <c r="N223" i="1" s="1"/>
  <c r="K136" i="1"/>
  <c r="N136" i="1" s="1"/>
  <c r="K353" i="1"/>
  <c r="N353" i="1" s="1"/>
  <c r="K212" i="1"/>
  <c r="N212" i="1" s="1"/>
  <c r="K29" i="1"/>
  <c r="N29" i="1" s="1"/>
  <c r="K261" i="1"/>
  <c r="N261" i="1" s="1"/>
  <c r="K92" i="1"/>
  <c r="N92" i="1" s="1"/>
  <c r="K323" i="1"/>
  <c r="N323" i="1" s="1"/>
  <c r="K39" i="1"/>
  <c r="N39" i="1" s="1"/>
  <c r="K240" i="1"/>
  <c r="N240" i="1" s="1"/>
  <c r="K122" i="1"/>
  <c r="N122" i="1" s="1"/>
  <c r="K59" i="1"/>
  <c r="N59" i="1" s="1"/>
  <c r="K278" i="1"/>
  <c r="N278" i="1" s="1"/>
  <c r="K266" i="1"/>
  <c r="N266" i="1" s="1"/>
  <c r="K357" i="1"/>
  <c r="N357" i="1" s="1"/>
  <c r="K103" i="1"/>
  <c r="N103" i="1" s="1"/>
  <c r="K41" i="1"/>
  <c r="N41" i="1" s="1"/>
  <c r="K161" i="1"/>
  <c r="N161" i="1" s="1"/>
  <c r="K225" i="1"/>
  <c r="N225" i="1" s="1"/>
  <c r="K81" i="1"/>
  <c r="N81" i="1" s="1"/>
  <c r="K11" i="1"/>
  <c r="N11" i="1" s="1"/>
  <c r="K391" i="1"/>
  <c r="N391" i="1" s="1"/>
  <c r="K370" i="1"/>
  <c r="N370" i="1" s="1"/>
  <c r="K89" i="1"/>
  <c r="N89" i="1" s="1"/>
  <c r="K211" i="1"/>
  <c r="N211" i="1" s="1"/>
  <c r="K303" i="1"/>
  <c r="N303" i="1" s="1"/>
  <c r="K320" i="1"/>
  <c r="N320" i="1" s="1"/>
  <c r="K135" i="1"/>
  <c r="N135" i="1" s="1"/>
  <c r="K395" i="1"/>
  <c r="N395" i="1" s="1"/>
  <c r="K273" i="1"/>
  <c r="N273" i="1" s="1"/>
  <c r="K342" i="1"/>
  <c r="N342" i="1" s="1"/>
  <c r="K215" i="1"/>
  <c r="N215" i="1" s="1"/>
  <c r="K167" i="1"/>
  <c r="N167" i="1" s="1"/>
  <c r="K184" i="1"/>
  <c r="N184" i="1" s="1"/>
  <c r="K284" i="1"/>
  <c r="N284" i="1" s="1"/>
  <c r="K193" i="1"/>
  <c r="N193" i="1" s="1"/>
  <c r="K80" i="1"/>
  <c r="N80" i="1" s="1"/>
  <c r="K244" i="1"/>
  <c r="N244" i="1" s="1"/>
  <c r="K295" i="1"/>
  <c r="N295" i="1" s="1"/>
  <c r="K126" i="1"/>
  <c r="N126" i="1" s="1"/>
  <c r="K232" i="1"/>
  <c r="N232" i="1" s="1"/>
  <c r="K346" i="1"/>
  <c r="N346" i="1" s="1"/>
  <c r="K221" i="1"/>
  <c r="N221" i="1" s="1"/>
  <c r="K100" i="1"/>
  <c r="N100" i="1" s="1"/>
  <c r="K339" i="1"/>
  <c r="N339" i="1" s="1"/>
  <c r="K358" i="1"/>
  <c r="N358" i="1" s="1"/>
  <c r="K319" i="1"/>
  <c r="N319" i="1" s="1"/>
  <c r="K250" i="1"/>
  <c r="N250" i="1" s="1"/>
  <c r="K154" i="1"/>
  <c r="N154" i="1" s="1"/>
  <c r="K55" i="1"/>
  <c r="N55" i="1" s="1"/>
  <c r="K286" i="1"/>
  <c r="N286" i="1" s="1"/>
  <c r="K384" i="1"/>
  <c r="N384" i="1" s="1"/>
  <c r="K63" i="1"/>
  <c r="N63" i="1" s="1"/>
  <c r="K120" i="1"/>
  <c r="N120" i="1" s="1"/>
  <c r="K383" i="1"/>
  <c r="N383" i="1" s="1"/>
  <c r="K201" i="1"/>
  <c r="N201" i="1" s="1"/>
  <c r="K66" i="1"/>
  <c r="N66" i="1" s="1"/>
  <c r="K230" i="1"/>
  <c r="N230" i="1" s="1"/>
  <c r="K400" i="1"/>
  <c r="N400" i="1" s="1"/>
  <c r="K349" i="1"/>
  <c r="N349" i="1" s="1"/>
  <c r="K32" i="1"/>
  <c r="N32" i="1" s="1"/>
  <c r="K190" i="1"/>
  <c r="N190" i="1" s="1"/>
  <c r="K113" i="1"/>
  <c r="N113" i="1" s="1"/>
  <c r="K46" i="1"/>
  <c r="N46" i="1" s="1"/>
  <c r="K3" i="1"/>
  <c r="N3" i="1" s="1"/>
  <c r="K239" i="1"/>
  <c r="N239" i="1" s="1"/>
  <c r="K272" i="1"/>
  <c r="N272" i="1" s="1"/>
  <c r="K170" i="1"/>
  <c r="N170" i="1" s="1"/>
  <c r="K202" i="1"/>
  <c r="N202" i="1" s="1"/>
  <c r="K152" i="1"/>
  <c r="N152" i="1" s="1"/>
  <c r="K291" i="1"/>
  <c r="N291" i="1" s="1"/>
  <c r="K37" i="1"/>
  <c r="N37" i="1" s="1"/>
  <c r="K129" i="1"/>
  <c r="N129" i="1" s="1"/>
  <c r="K17" i="1"/>
  <c r="N17" i="1" s="1"/>
  <c r="K174" i="1"/>
  <c r="N174" i="1" s="1"/>
  <c r="K277" i="1"/>
  <c r="N277" i="1" s="1"/>
  <c r="K137" i="1"/>
  <c r="N137" i="1" s="1"/>
  <c r="K246" i="1"/>
  <c r="N246" i="1" s="1"/>
  <c r="K325" i="1"/>
  <c r="N325" i="1" s="1"/>
  <c r="K166" i="1"/>
  <c r="N166" i="1" s="1"/>
  <c r="K310" i="1"/>
  <c r="N310" i="1" s="1"/>
  <c r="K299" i="1"/>
  <c r="N299" i="1" s="1"/>
  <c r="K206" i="1"/>
  <c r="N206" i="1" s="1"/>
  <c r="K302" i="1"/>
  <c r="N302" i="1" s="1"/>
  <c r="K10" i="1"/>
  <c r="N10" i="1" s="1"/>
  <c r="K101" i="1"/>
  <c r="N101" i="1" s="1"/>
  <c r="K360" i="1"/>
  <c r="N360" i="1" s="1"/>
  <c r="K42" i="1"/>
  <c r="N42" i="1" s="1"/>
  <c r="K24" i="1"/>
  <c r="N24" i="1" s="1"/>
  <c r="K324" i="1"/>
  <c r="N324" i="1" s="1"/>
  <c r="K178" i="1"/>
  <c r="N178" i="1" s="1"/>
  <c r="K334" i="1"/>
  <c r="N334" i="1" s="1"/>
  <c r="K48" i="1"/>
  <c r="N48" i="1" s="1"/>
  <c r="K69" i="1"/>
  <c r="N69" i="1" s="1"/>
  <c r="K79" i="1"/>
  <c r="N79" i="1" s="1"/>
  <c r="K200" i="1"/>
  <c r="N200" i="1" s="1"/>
  <c r="K108" i="1"/>
  <c r="N108" i="1" s="1"/>
  <c r="K171" i="1"/>
  <c r="N171" i="1" s="1"/>
  <c r="K141" i="1"/>
  <c r="N141" i="1" s="1"/>
  <c r="K169" i="1"/>
  <c r="N169" i="1" s="1"/>
  <c r="K307" i="1"/>
  <c r="N307" i="1" s="1"/>
  <c r="K247" i="1"/>
  <c r="N247" i="1" s="1"/>
  <c r="K82" i="1"/>
  <c r="N82" i="1" s="1"/>
  <c r="K179" i="1"/>
  <c r="N179" i="1" s="1"/>
  <c r="K58" i="1"/>
  <c r="N58" i="1" s="1"/>
  <c r="K97" i="1"/>
  <c r="N97" i="1" s="1"/>
  <c r="K264" i="1"/>
  <c r="N264" i="1" s="1"/>
  <c r="K164" i="1"/>
  <c r="N164" i="1" s="1"/>
  <c r="K123" i="1"/>
  <c r="N123" i="1" s="1"/>
  <c r="K68" i="1"/>
  <c r="N68" i="1" s="1"/>
  <c r="K127" i="1"/>
  <c r="N127" i="1" s="1"/>
  <c r="K350" i="1"/>
  <c r="N350" i="1" s="1"/>
  <c r="K104" i="1"/>
  <c r="N104" i="1" s="1"/>
  <c r="K372" i="1"/>
  <c r="N372" i="1" s="1"/>
  <c r="K305" i="1"/>
  <c r="N305" i="1" s="1"/>
  <c r="K162" i="1"/>
  <c r="N162" i="1" s="1"/>
  <c r="K163" i="1"/>
  <c r="N163" i="1" s="1"/>
  <c r="K343" i="1"/>
  <c r="N343" i="1" s="1"/>
  <c r="K76" i="1"/>
  <c r="N76" i="1" s="1"/>
  <c r="K106" i="1"/>
  <c r="N106" i="1" s="1"/>
  <c r="K175" i="1"/>
  <c r="N175" i="1" s="1"/>
  <c r="K234" i="1"/>
  <c r="N234" i="1" s="1"/>
  <c r="K117" i="1"/>
  <c r="N117" i="1" s="1"/>
  <c r="K8" i="1"/>
  <c r="N8" i="1" s="1"/>
  <c r="K340" i="1"/>
  <c r="N340" i="1" s="1"/>
  <c r="K157" i="1"/>
  <c r="N157" i="1" s="1"/>
  <c r="K27" i="1"/>
  <c r="N27" i="1" s="1"/>
  <c r="K53" i="1"/>
  <c r="N53" i="1" s="1"/>
  <c r="K369" i="1"/>
  <c r="N369" i="1" s="1"/>
  <c r="K64" i="1"/>
  <c r="N64" i="1" s="1"/>
  <c r="K367" i="1"/>
  <c r="N367" i="1" s="1"/>
  <c r="K77" i="1"/>
  <c r="N77" i="1" s="1"/>
  <c r="K134" i="1"/>
  <c r="N134" i="1" s="1"/>
  <c r="K387" i="1"/>
  <c r="N387" i="1" s="1"/>
  <c r="K348" i="1"/>
  <c r="N348" i="1" s="1"/>
  <c r="K351" i="1"/>
  <c r="N351" i="1" s="1"/>
  <c r="K335" i="1"/>
  <c r="N335" i="1" s="1"/>
  <c r="K314" i="1"/>
  <c r="N314" i="1" s="1"/>
  <c r="K312" i="1"/>
  <c r="N312" i="1" s="1"/>
  <c r="K83" i="1"/>
  <c r="N83" i="1" s="1"/>
  <c r="K6" i="1"/>
  <c r="N6" i="1" s="1"/>
  <c r="K61" i="1"/>
  <c r="N61" i="1" s="1"/>
  <c r="K231" i="1"/>
  <c r="N231" i="1" s="1"/>
  <c r="K45" i="1"/>
  <c r="N45" i="1" s="1"/>
  <c r="K128" i="1"/>
  <c r="N128" i="1" s="1"/>
  <c r="K399" i="1"/>
  <c r="N399" i="1" s="1"/>
  <c r="K219" i="1"/>
  <c r="N219" i="1" s="1"/>
  <c r="K74" i="1"/>
  <c r="N74" i="1" s="1"/>
  <c r="K393" i="1"/>
  <c r="N393" i="1" s="1"/>
  <c r="K294" i="1"/>
  <c r="N294" i="1" s="1"/>
  <c r="K306" i="1"/>
  <c r="N306" i="1" s="1"/>
  <c r="K245" i="1"/>
  <c r="N245" i="1" s="1"/>
  <c r="K321" i="1"/>
  <c r="N321" i="1" s="1"/>
  <c r="K224" i="1"/>
  <c r="N224" i="1" s="1"/>
  <c r="K329" i="1"/>
  <c r="N329" i="1" s="1"/>
  <c r="K332" i="1"/>
  <c r="N332" i="1" s="1"/>
  <c r="K33" i="1"/>
  <c r="N33" i="1" s="1"/>
  <c r="K274" i="1"/>
  <c r="N274" i="1" s="1"/>
  <c r="K133" i="1"/>
  <c r="N133" i="1" s="1"/>
  <c r="K265" i="1"/>
  <c r="N265" i="1" s="1"/>
  <c r="K330" i="1"/>
  <c r="N330" i="1" s="1"/>
  <c r="K263" i="1"/>
  <c r="N263" i="1" s="1"/>
  <c r="K368" i="1"/>
  <c r="N368" i="1" s="1"/>
  <c r="K208" i="1"/>
  <c r="N208" i="1" s="1"/>
  <c r="K197" i="1"/>
  <c r="N197" i="1" s="1"/>
  <c r="K28" i="1"/>
  <c r="N28" i="1" s="1"/>
  <c r="K88" i="1"/>
  <c r="N88" i="1" s="1"/>
  <c r="K191" i="1"/>
  <c r="N191" i="1" s="1"/>
  <c r="K139" i="1"/>
  <c r="N139" i="1" s="1"/>
  <c r="K144" i="1"/>
  <c r="N144" i="1" s="1"/>
  <c r="K35" i="1"/>
  <c r="N35" i="1" s="1"/>
  <c r="K293" i="1"/>
  <c r="N293" i="1" s="1"/>
  <c r="K374" i="1"/>
  <c r="N374" i="1" s="1"/>
  <c r="K236" i="1"/>
  <c r="N236" i="1" s="1"/>
  <c r="K132" i="1"/>
  <c r="N132" i="1" s="1"/>
  <c r="K364" i="1"/>
  <c r="N364" i="1" s="1"/>
  <c r="K338" i="1"/>
  <c r="N338" i="1" s="1"/>
  <c r="K344" i="1"/>
  <c r="N344" i="1" s="1"/>
  <c r="K23" i="1"/>
  <c r="N23" i="1" s="1"/>
  <c r="K355" i="1"/>
  <c r="N355" i="1" s="1"/>
  <c r="K142" i="1"/>
  <c r="N142" i="1" s="1"/>
  <c r="K363" i="1"/>
  <c r="N363" i="1" s="1"/>
  <c r="K47" i="1"/>
  <c r="N47" i="1" s="1"/>
  <c r="K258" i="1"/>
  <c r="N258" i="1" s="1"/>
  <c r="K301" i="1"/>
  <c r="N301" i="1" s="1"/>
  <c r="K196" i="1"/>
  <c r="N196" i="1" s="1"/>
  <c r="K271" i="1"/>
  <c r="N271" i="1" s="1"/>
  <c r="K177" i="1"/>
  <c r="N177" i="1" s="1"/>
  <c r="K289" i="1"/>
  <c r="N289" i="1" s="1"/>
  <c r="K70" i="1"/>
  <c r="N70" i="1" s="1"/>
  <c r="K85" i="1"/>
  <c r="N85" i="1" s="1"/>
  <c r="K252" i="1"/>
  <c r="N252" i="1" s="1"/>
  <c r="K15" i="1"/>
  <c r="N15" i="1" s="1"/>
  <c r="K270" i="1"/>
  <c r="N270" i="1" s="1"/>
  <c r="K242" i="1"/>
  <c r="N242" i="1" s="1"/>
  <c r="K280" i="1"/>
  <c r="N280" i="1" s="1"/>
  <c r="K198" i="1"/>
  <c r="N198" i="1" s="1"/>
  <c r="K153" i="1"/>
  <c r="N153" i="1" s="1"/>
  <c r="K352" i="1"/>
  <c r="N352" i="1" s="1"/>
  <c r="K216" i="1"/>
  <c r="N216" i="1" s="1"/>
  <c r="K275" i="1"/>
  <c r="N275" i="1" s="1"/>
  <c r="K57" i="1"/>
  <c r="N57" i="1" s="1"/>
  <c r="K44" i="1"/>
  <c r="N44" i="1" s="1"/>
  <c r="K65" i="1"/>
  <c r="N65" i="1" s="1"/>
  <c r="K359" i="1"/>
  <c r="N359" i="1" s="1"/>
  <c r="K297" i="1"/>
  <c r="N297" i="1" s="1"/>
  <c r="K40" i="1"/>
  <c r="N40" i="1" s="1"/>
  <c r="K188" i="1"/>
  <c r="N188" i="1" s="1"/>
  <c r="K181" i="1"/>
  <c r="N181" i="1" s="1"/>
  <c r="K204" i="1"/>
  <c r="N204" i="1" s="1"/>
  <c r="K30" i="1"/>
  <c r="N30" i="1" s="1"/>
  <c r="K21" i="1"/>
  <c r="N21" i="1" s="1"/>
  <c r="K378" i="1"/>
  <c r="N378" i="1" s="1"/>
  <c r="K311" i="1"/>
  <c r="N311" i="1" s="1"/>
  <c r="K385" i="1"/>
  <c r="N385" i="1" s="1"/>
  <c r="K186" i="1"/>
  <c r="N186" i="1" s="1"/>
  <c r="K125" i="1"/>
  <c r="N125" i="1" s="1"/>
  <c r="K322" i="1"/>
  <c r="N322" i="1" s="1"/>
  <c r="K145" i="1"/>
  <c r="N145" i="1" s="1"/>
  <c r="K388" i="1"/>
  <c r="N388" i="1" s="1"/>
  <c r="K396" i="1"/>
  <c r="N396" i="1" s="1"/>
  <c r="K115" i="1"/>
  <c r="N115" i="1" s="1"/>
  <c r="K354" i="1"/>
  <c r="N354" i="1" s="1"/>
  <c r="K262" i="1"/>
  <c r="N262" i="1" s="1"/>
  <c r="K243" i="1"/>
  <c r="N243" i="1" s="1"/>
  <c r="K151" i="1"/>
  <c r="N151" i="1" s="1"/>
  <c r="K84" i="1"/>
  <c r="N84" i="1" s="1"/>
  <c r="K56" i="1"/>
  <c r="N56" i="1" s="1"/>
  <c r="K18" i="1"/>
  <c r="N18" i="1" s="1"/>
  <c r="K298" i="1"/>
  <c r="N298" i="1" s="1"/>
  <c r="K62" i="1"/>
  <c r="N62" i="1" s="1"/>
  <c r="K143" i="1"/>
  <c r="N143" i="1" s="1"/>
  <c r="K130" i="1"/>
  <c r="N130" i="1" s="1"/>
  <c r="K119" i="1"/>
  <c r="N119" i="1" s="1"/>
  <c r="K131" i="1"/>
  <c r="N131" i="1" s="1"/>
  <c r="K116" i="1"/>
  <c r="N116" i="1" s="1"/>
  <c r="K20" i="1"/>
  <c r="N20" i="1" s="1"/>
  <c r="K31" i="1"/>
  <c r="N31" i="1" s="1"/>
  <c r="K238" i="1"/>
  <c r="N238" i="1" s="1"/>
  <c r="K376" i="1"/>
  <c r="N376" i="1" s="1"/>
  <c r="K109" i="1"/>
  <c r="N109" i="1" s="1"/>
  <c r="K379" i="1"/>
  <c r="N379" i="1" s="1"/>
  <c r="K276" i="1"/>
  <c r="N276" i="1" s="1"/>
  <c r="K107" i="1"/>
  <c r="N107" i="1" s="1"/>
  <c r="K269" i="1"/>
  <c r="N269" i="1" s="1"/>
  <c r="K147" i="1"/>
  <c r="N147" i="1" s="1"/>
  <c r="K377" i="1"/>
  <c r="N377" i="1" s="1"/>
  <c r="K229" i="1"/>
  <c r="N229" i="1" s="1"/>
  <c r="K371" i="1"/>
  <c r="N371" i="1" s="1"/>
  <c r="K249" i="1"/>
  <c r="N249" i="1" s="1"/>
  <c r="K288" i="1"/>
  <c r="N288" i="1" s="1"/>
  <c r="K366" i="1"/>
  <c r="N366" i="1" s="1"/>
  <c r="K214" i="1"/>
  <c r="N214" i="1" s="1"/>
  <c r="K308" i="1"/>
  <c r="N308" i="1" s="1"/>
  <c r="K217" i="1"/>
  <c r="N217" i="1" s="1"/>
  <c r="K341" i="1"/>
  <c r="N341" i="1" s="1"/>
  <c r="K347" i="1"/>
  <c r="N347" i="1" s="1"/>
  <c r="K317" i="1"/>
  <c r="N317" i="1" s="1"/>
  <c r="K71" i="1"/>
  <c r="N71" i="1" s="1"/>
  <c r="K382" i="1"/>
  <c r="N382" i="1" s="1"/>
  <c r="K25" i="1"/>
  <c r="N25" i="1" s="1"/>
  <c r="K373" i="1"/>
  <c r="N373" i="1" s="1"/>
  <c r="K362" i="1"/>
  <c r="N362" i="1" s="1"/>
  <c r="K124" i="1"/>
  <c r="N124" i="1" s="1"/>
  <c r="K296" i="1"/>
  <c r="N296" i="1" s="1"/>
  <c r="K386" i="1"/>
  <c r="N386" i="1" s="1"/>
  <c r="K281" i="1"/>
  <c r="N281" i="1" s="1"/>
  <c r="K199" i="1"/>
  <c r="N199" i="1" s="1"/>
  <c r="K328" i="1"/>
  <c r="N328" i="1" s="1"/>
  <c r="K313" i="1"/>
  <c r="N313" i="1" s="1"/>
  <c r="K226" i="1"/>
  <c r="N226" i="1" s="1"/>
  <c r="K2" i="1"/>
  <c r="N2" i="1" s="1"/>
  <c r="K227" i="1"/>
  <c r="N227" i="1" s="1"/>
  <c r="K192" i="1"/>
  <c r="N192" i="1" s="1"/>
  <c r="K96" i="1"/>
  <c r="N96" i="1" s="1"/>
  <c r="K4" i="1"/>
  <c r="N4" i="1" s="1"/>
  <c r="K168" i="1"/>
  <c r="N168" i="1" s="1"/>
  <c r="K389" i="1"/>
  <c r="N389" i="1" s="1"/>
  <c r="K185" i="1"/>
  <c r="N185" i="1" s="1"/>
  <c r="K398" i="1"/>
  <c r="N398" i="1" s="1"/>
  <c r="K337" i="1"/>
  <c r="N337" i="1" s="1"/>
  <c r="K182" i="1"/>
  <c r="N182" i="1" s="1"/>
  <c r="K287" i="1"/>
  <c r="N287" i="1" s="1"/>
  <c r="K205" i="1"/>
  <c r="N205" i="1" s="1"/>
  <c r="K67" i="1"/>
  <c r="N67" i="1" s="1"/>
  <c r="K233" i="1"/>
  <c r="N233" i="1" s="1"/>
  <c r="K267" i="1"/>
  <c r="N267" i="1" s="1"/>
  <c r="K165" i="1"/>
  <c r="N165" i="1" s="1"/>
  <c r="K241" i="1"/>
  <c r="N241" i="1" s="1"/>
  <c r="K60" i="1"/>
  <c r="N60" i="1" s="1"/>
  <c r="K158" i="1"/>
  <c r="N158" i="1" s="1"/>
  <c r="K36" i="1"/>
  <c r="N36" i="1" s="1"/>
  <c r="K148" i="1"/>
  <c r="N148" i="1" s="1"/>
  <c r="K397" i="1"/>
  <c r="N397" i="1" s="1"/>
  <c r="K160" i="1"/>
  <c r="N160" i="1" s="1"/>
  <c r="K78" i="1"/>
  <c r="N78" i="1" s="1"/>
  <c r="K394" i="1"/>
  <c r="N394" i="1" s="1"/>
  <c r="K220" i="1"/>
  <c r="N220" i="1" s="1"/>
  <c r="K345" i="1"/>
  <c r="N345" i="1" s="1"/>
  <c r="K259" i="1"/>
  <c r="N259" i="1" s="1"/>
  <c r="K195" i="1"/>
  <c r="N195" i="1" s="1"/>
  <c r="K95" i="1"/>
  <c r="N95" i="1" s="1"/>
  <c r="K110" i="1"/>
  <c r="N110" i="1" s="1"/>
  <c r="K112" i="1"/>
  <c r="N112" i="1" s="1"/>
  <c r="K26" i="1"/>
  <c r="N26" i="1" s="1"/>
  <c r="K75" i="1"/>
  <c r="N75" i="1" s="1"/>
  <c r="K268" i="1"/>
  <c r="N268" i="1" s="1"/>
  <c r="K248" i="1"/>
  <c r="N248" i="1" s="1"/>
  <c r="K159" i="1"/>
  <c r="N159" i="1" s="1"/>
  <c r="K331" i="1"/>
  <c r="N331" i="1" s="1"/>
  <c r="K380" i="1"/>
  <c r="N380" i="1" s="1"/>
  <c r="K194" i="1"/>
  <c r="N194" i="1" s="1"/>
  <c r="K99" i="1"/>
  <c r="N99" i="1" s="1"/>
  <c r="K13" i="1"/>
  <c r="N13" i="1" s="1"/>
  <c r="K356" i="1"/>
  <c r="N356" i="1" s="1"/>
  <c r="K87" i="1"/>
  <c r="N87" i="1" s="1"/>
  <c r="K91" i="1"/>
  <c r="N91" i="1" s="1"/>
  <c r="K121" i="1"/>
  <c r="N121" i="1" s="1"/>
  <c r="K333" i="1"/>
  <c r="N333" i="1" s="1"/>
  <c r="K114" i="1"/>
  <c r="N114" i="1" s="1"/>
  <c r="K86" i="1"/>
  <c r="N86" i="1" s="1"/>
  <c r="K105" i="1"/>
  <c r="N105" i="1" s="1"/>
  <c r="K283" i="1"/>
  <c r="N283" i="1" s="1"/>
  <c r="K16" i="1"/>
  <c r="N16" i="1" s="1"/>
  <c r="K94" i="1"/>
  <c r="N94" i="1" s="1"/>
  <c r="K7" i="1"/>
  <c r="N7" i="1" s="1"/>
  <c r="K173" i="1"/>
  <c r="N173" i="1" s="1"/>
  <c r="K34" i="1"/>
  <c r="N34" i="1" s="1"/>
  <c r="K365" i="1"/>
  <c r="N365" i="1" s="1"/>
  <c r="K290" i="1"/>
  <c r="N290" i="1" s="1"/>
  <c r="K52" i="1"/>
  <c r="N52" i="1" s="1"/>
  <c r="K381" i="1"/>
  <c r="N381" i="1" s="1"/>
  <c r="K14" i="1"/>
  <c r="N14" i="1" s="1"/>
  <c r="K203" i="1"/>
  <c r="N203" i="1" s="1"/>
  <c r="K180" i="1"/>
  <c r="N180" i="1" s="1"/>
  <c r="K50" i="1"/>
  <c r="N50" i="1" s="1"/>
  <c r="K93" i="1"/>
  <c r="N93" i="1" s="1"/>
  <c r="K207" i="1"/>
  <c r="N207" i="1" s="1"/>
  <c r="K255" i="1"/>
  <c r="N255" i="1" s="1"/>
  <c r="K218" i="1"/>
  <c r="N218" i="1" s="1"/>
  <c r="K213" i="1"/>
  <c r="N213" i="1" s="1"/>
  <c r="K260" i="1"/>
  <c r="N260" i="1" s="1"/>
  <c r="K327" i="1"/>
  <c r="N327" i="1" s="1"/>
  <c r="K54" i="1"/>
  <c r="N54" i="1" s="1"/>
  <c r="K43" i="1"/>
  <c r="N43" i="1" s="1"/>
  <c r="K146" i="1"/>
  <c r="N146" i="1" s="1"/>
  <c r="K316" i="1"/>
  <c r="N316" i="1" s="1"/>
  <c r="K282" i="1"/>
  <c r="N282" i="1" s="1"/>
  <c r="K51" i="1"/>
  <c r="N51" i="1" s="1"/>
  <c r="K73" i="1"/>
  <c r="N73" i="1" s="1"/>
  <c r="K318" i="1"/>
  <c r="N318" i="1" s="1"/>
  <c r="K155" i="1"/>
  <c r="N155" i="1" s="1"/>
  <c r="K187" i="1"/>
  <c r="N187" i="1" s="1"/>
  <c r="K176" i="1"/>
  <c r="N176" i="1" s="1"/>
  <c r="K189" i="1"/>
  <c r="N189" i="1" s="1"/>
  <c r="K279" i="1"/>
  <c r="N279" i="1" s="1"/>
  <c r="K300" i="1"/>
  <c r="N300" i="1" s="1"/>
  <c r="K222" i="1"/>
  <c r="N222" i="1" s="1"/>
  <c r="K118" i="1"/>
  <c r="N118" i="1" s="1"/>
  <c r="K251" i="1"/>
  <c r="N251" i="1" s="1"/>
  <c r="K254" i="1"/>
  <c r="N254" i="1" s="1"/>
  <c r="K102" i="1"/>
  <c r="N102" i="1" s="1"/>
  <c r="K149" i="1"/>
  <c r="N149" i="1" s="1"/>
  <c r="K235" i="1"/>
  <c r="N235" i="1" s="1"/>
  <c r="K22" i="1"/>
  <c r="N22" i="1" s="1"/>
  <c r="K292" i="1"/>
  <c r="N292" i="1" s="1"/>
  <c r="K72" i="1"/>
  <c r="N72" i="1" s="1"/>
  <c r="K361" i="1"/>
  <c r="N361" i="1" s="1"/>
  <c r="K392" i="1"/>
  <c r="N392" i="1" s="1"/>
  <c r="K210" i="1"/>
  <c r="N210" i="1" s="1"/>
  <c r="K401" i="1"/>
  <c r="N401" i="1" s="1"/>
  <c r="K49" i="1"/>
  <c r="N49" i="1" s="1"/>
  <c r="K237" i="1"/>
  <c r="N237" i="1" s="1"/>
  <c r="K156" i="1"/>
  <c r="N156" i="1" s="1"/>
  <c r="P109" i="1" l="1"/>
  <c r="P276" i="1"/>
  <c r="P107" i="1"/>
  <c r="P269" i="1"/>
  <c r="P288" i="1"/>
  <c r="P308" i="1"/>
  <c r="P71" i="1"/>
  <c r="P25" i="1"/>
  <c r="P296" i="1"/>
  <c r="P281" i="1"/>
  <c r="P2" i="1"/>
  <c r="P96" i="1"/>
  <c r="P4" i="1"/>
  <c r="P398" i="1"/>
  <c r="P287" i="1"/>
  <c r="P67" i="1"/>
  <c r="P267" i="1"/>
  <c r="P60" i="1"/>
  <c r="P36" i="1"/>
  <c r="P397" i="1"/>
  <c r="P394" i="1"/>
  <c r="P259" i="1"/>
  <c r="P26" i="1"/>
  <c r="P268" i="1"/>
  <c r="P13" i="1"/>
  <c r="P283" i="1"/>
  <c r="P260" i="1"/>
  <c r="P172" i="1"/>
  <c r="P19" i="1"/>
  <c r="P336" i="1"/>
  <c r="P111" i="1"/>
  <c r="P150" i="1"/>
  <c r="P209" i="1"/>
  <c r="P5" i="1"/>
  <c r="P326" i="1"/>
  <c r="P138" i="1"/>
  <c r="P375" i="1"/>
  <c r="P38" i="1"/>
  <c r="P315" i="1"/>
  <c r="P183" i="1"/>
  <c r="P390" i="1"/>
  <c r="P253" i="1"/>
  <c r="P140" i="1"/>
  <c r="P228" i="1"/>
  <c r="P309" i="1"/>
  <c r="P304" i="1"/>
  <c r="P90" i="1"/>
  <c r="P98" i="1"/>
  <c r="P257" i="1"/>
  <c r="P12" i="1"/>
  <c r="P285" i="1"/>
  <c r="P256" i="1"/>
  <c r="P223" i="1"/>
  <c r="P136" i="1"/>
  <c r="P353" i="1"/>
  <c r="P212" i="1"/>
  <c r="P29" i="1"/>
  <c r="P261" i="1"/>
  <c r="P92" i="1"/>
  <c r="P323" i="1"/>
  <c r="P39" i="1"/>
  <c r="P240" i="1"/>
  <c r="P122" i="1"/>
  <c r="P59" i="1"/>
  <c r="P278" i="1"/>
  <c r="P266" i="1"/>
  <c r="P357" i="1"/>
  <c r="P103" i="1"/>
  <c r="P41" i="1"/>
  <c r="P161" i="1"/>
  <c r="P225" i="1"/>
  <c r="P81" i="1"/>
  <c r="P11" i="1"/>
  <c r="P391" i="1"/>
  <c r="P370" i="1"/>
  <c r="P89" i="1"/>
  <c r="P211" i="1"/>
  <c r="P303" i="1"/>
  <c r="P320" i="1"/>
  <c r="P135" i="1"/>
  <c r="P395" i="1"/>
  <c r="P273" i="1"/>
  <c r="P342" i="1"/>
  <c r="P215" i="1"/>
  <c r="P167" i="1"/>
  <c r="P184" i="1"/>
  <c r="P284" i="1"/>
  <c r="P193" i="1"/>
  <c r="P80" i="1"/>
  <c r="P244" i="1"/>
  <c r="P295" i="1"/>
  <c r="P126" i="1"/>
  <c r="P232" i="1"/>
  <c r="P346" i="1"/>
  <c r="P221" i="1"/>
  <c r="P100" i="1"/>
  <c r="P339" i="1"/>
  <c r="P358" i="1"/>
  <c r="P319" i="1"/>
  <c r="P250" i="1"/>
  <c r="P154" i="1"/>
  <c r="P55" i="1"/>
  <c r="P286" i="1"/>
  <c r="P384" i="1"/>
  <c r="P63" i="1"/>
  <c r="P120" i="1"/>
  <c r="P383" i="1"/>
  <c r="P201" i="1"/>
  <c r="P66" i="1"/>
  <c r="P230" i="1"/>
  <c r="P400" i="1"/>
  <c r="P349" i="1"/>
  <c r="P32" i="1"/>
  <c r="P190" i="1"/>
  <c r="P113" i="1"/>
  <c r="P46" i="1"/>
  <c r="P3" i="1"/>
  <c r="P239" i="1"/>
  <c r="P272" i="1"/>
  <c r="P170" i="1"/>
  <c r="P202" i="1"/>
  <c r="P152" i="1"/>
  <c r="P291" i="1"/>
  <c r="P37" i="1"/>
  <c r="P129" i="1"/>
  <c r="P17" i="1"/>
  <c r="P174" i="1"/>
  <c r="P277" i="1"/>
  <c r="P137" i="1"/>
  <c r="P246" i="1"/>
  <c r="P325" i="1"/>
  <c r="P166" i="1"/>
  <c r="P310" i="1"/>
  <c r="P299" i="1"/>
  <c r="P206" i="1"/>
  <c r="P302" i="1"/>
  <c r="P10" i="1"/>
  <c r="P101" i="1"/>
  <c r="P360" i="1"/>
  <c r="P42" i="1"/>
  <c r="P24" i="1"/>
  <c r="P324" i="1"/>
  <c r="P178" i="1"/>
  <c r="P334" i="1"/>
  <c r="P48" i="1"/>
  <c r="P69" i="1"/>
  <c r="P79" i="1"/>
  <c r="P200" i="1"/>
  <c r="P108" i="1"/>
  <c r="P171" i="1"/>
  <c r="P141" i="1"/>
  <c r="P169" i="1"/>
  <c r="P307" i="1"/>
  <c r="P247" i="1"/>
  <c r="P82" i="1"/>
  <c r="P179" i="1"/>
  <c r="P58" i="1"/>
  <c r="P97" i="1"/>
  <c r="P264" i="1"/>
  <c r="P164" i="1"/>
  <c r="P123" i="1"/>
  <c r="P68" i="1"/>
  <c r="P127" i="1"/>
  <c r="P350" i="1"/>
  <c r="P104" i="1"/>
  <c r="P372" i="1"/>
  <c r="P305" i="1"/>
  <c r="P162" i="1"/>
  <c r="P163" i="1"/>
  <c r="P343" i="1"/>
  <c r="P76" i="1"/>
  <c r="P106" i="1"/>
  <c r="P175" i="1"/>
  <c r="P234" i="1"/>
  <c r="P117" i="1"/>
  <c r="P8" i="1"/>
  <c r="P340" i="1"/>
  <c r="P157" i="1"/>
  <c r="P27" i="1"/>
  <c r="P53" i="1"/>
  <c r="P369" i="1"/>
  <c r="P64" i="1"/>
  <c r="P367" i="1"/>
  <c r="P77" i="1"/>
  <c r="P134" i="1"/>
  <c r="P387" i="1"/>
  <c r="P348" i="1"/>
  <c r="P351" i="1"/>
  <c r="P335" i="1"/>
  <c r="P314" i="1"/>
  <c r="P312" i="1"/>
  <c r="P83" i="1"/>
  <c r="P6" i="1"/>
  <c r="P61" i="1"/>
  <c r="P231" i="1"/>
  <c r="P45" i="1"/>
  <c r="P128" i="1"/>
  <c r="P399" i="1"/>
  <c r="P219" i="1"/>
  <c r="P74" i="1"/>
  <c r="P393" i="1"/>
  <c r="P294" i="1"/>
  <c r="P306" i="1"/>
  <c r="P245" i="1"/>
  <c r="P321" i="1"/>
  <c r="P224" i="1"/>
  <c r="P329" i="1"/>
  <c r="P332" i="1"/>
  <c r="P33" i="1"/>
  <c r="P274" i="1"/>
  <c r="P133" i="1"/>
  <c r="P265" i="1"/>
  <c r="P330" i="1"/>
  <c r="P263" i="1"/>
  <c r="P368" i="1"/>
  <c r="P208" i="1"/>
  <c r="P197" i="1"/>
  <c r="P28" i="1"/>
  <c r="P88" i="1"/>
  <c r="P191" i="1"/>
  <c r="P139" i="1"/>
  <c r="P144" i="1"/>
  <c r="P35" i="1"/>
  <c r="P293" i="1"/>
  <c r="P374" i="1"/>
  <c r="P236" i="1"/>
  <c r="P132" i="1"/>
  <c r="P364" i="1"/>
  <c r="P338" i="1"/>
  <c r="P344" i="1"/>
  <c r="P23" i="1"/>
  <c r="P355" i="1"/>
  <c r="P142" i="1"/>
  <c r="P363" i="1"/>
  <c r="P47" i="1"/>
  <c r="P258" i="1"/>
  <c r="P301" i="1"/>
  <c r="P196" i="1"/>
  <c r="P271" i="1"/>
  <c r="P177" i="1"/>
  <c r="P289" i="1"/>
  <c r="P70" i="1"/>
  <c r="P85" i="1"/>
  <c r="P252" i="1"/>
  <c r="P15" i="1"/>
  <c r="P270" i="1"/>
  <c r="P242" i="1"/>
  <c r="P280" i="1"/>
  <c r="P198" i="1"/>
  <c r="P153" i="1"/>
  <c r="P352" i="1"/>
  <c r="P216" i="1"/>
  <c r="P275" i="1"/>
  <c r="P57" i="1"/>
  <c r="P44" i="1"/>
  <c r="P65" i="1"/>
  <c r="P359" i="1"/>
  <c r="P297" i="1"/>
  <c r="P40" i="1"/>
  <c r="P188" i="1"/>
  <c r="P181" i="1"/>
  <c r="P204" i="1"/>
  <c r="P30" i="1"/>
  <c r="P21" i="1"/>
  <c r="P378" i="1"/>
  <c r="P311" i="1"/>
  <c r="P385" i="1"/>
  <c r="P186" i="1"/>
  <c r="P125" i="1"/>
  <c r="P322" i="1"/>
  <c r="P145" i="1"/>
  <c r="P388" i="1"/>
  <c r="P396" i="1"/>
  <c r="P115" i="1"/>
  <c r="P354" i="1"/>
  <c r="P262" i="1"/>
  <c r="P243" i="1"/>
  <c r="P151" i="1"/>
  <c r="P84" i="1"/>
  <c r="P56" i="1"/>
  <c r="P18" i="1"/>
  <c r="P298" i="1"/>
  <c r="P62" i="1"/>
  <c r="P143" i="1"/>
  <c r="P130" i="1"/>
  <c r="P119" i="1"/>
  <c r="P131" i="1"/>
  <c r="P116" i="1"/>
  <c r="P20" i="1"/>
  <c r="P31" i="1"/>
  <c r="P9" i="1"/>
  <c r="P238" i="1"/>
  <c r="P376" i="1"/>
  <c r="P379" i="1"/>
  <c r="P147" i="1"/>
  <c r="P377" i="1"/>
  <c r="P229" i="1"/>
  <c r="P371" i="1"/>
  <c r="P249" i="1"/>
  <c r="P366" i="1"/>
  <c r="P214" i="1"/>
  <c r="P217" i="1"/>
  <c r="P341" i="1"/>
  <c r="P347" i="1"/>
  <c r="P317" i="1"/>
  <c r="P382" i="1"/>
  <c r="P373" i="1"/>
  <c r="P362" i="1"/>
  <c r="P124" i="1"/>
  <c r="P386" i="1"/>
  <c r="P199" i="1"/>
  <c r="P328" i="1"/>
  <c r="P313" i="1"/>
  <c r="P226" i="1"/>
  <c r="P227" i="1"/>
  <c r="P192" i="1"/>
  <c r="P168" i="1"/>
  <c r="P389" i="1"/>
  <c r="P185" i="1"/>
  <c r="P337" i="1"/>
  <c r="P182" i="1"/>
  <c r="P205" i="1"/>
  <c r="P233" i="1"/>
  <c r="P165" i="1"/>
  <c r="P241" i="1"/>
  <c r="P158" i="1"/>
  <c r="P148" i="1"/>
  <c r="P160" i="1"/>
  <c r="P78" i="1"/>
  <c r="P220" i="1"/>
  <c r="P345" i="1"/>
  <c r="P195" i="1"/>
  <c r="P95" i="1"/>
  <c r="P110" i="1"/>
  <c r="P112" i="1"/>
  <c r="P75" i="1"/>
  <c r="P248" i="1"/>
  <c r="P159" i="1"/>
  <c r="P331" i="1"/>
  <c r="P380" i="1"/>
  <c r="P194" i="1"/>
  <c r="P99" i="1"/>
  <c r="P356" i="1"/>
  <c r="P87" i="1"/>
  <c r="P91" i="1"/>
  <c r="P121" i="1"/>
  <c r="P333" i="1"/>
  <c r="P114" i="1"/>
  <c r="P86" i="1"/>
  <c r="P105" i="1"/>
  <c r="P16" i="1"/>
  <c r="P94" i="1"/>
  <c r="P7" i="1"/>
  <c r="P173" i="1"/>
  <c r="P34" i="1"/>
  <c r="P365" i="1"/>
  <c r="P290" i="1"/>
  <c r="P52" i="1"/>
  <c r="P381" i="1"/>
  <c r="P14" i="1"/>
  <c r="P203" i="1"/>
  <c r="P180" i="1"/>
  <c r="P50" i="1"/>
  <c r="P93" i="1"/>
  <c r="P207" i="1"/>
  <c r="P255" i="1"/>
  <c r="P218" i="1"/>
  <c r="P213" i="1"/>
  <c r="P327" i="1"/>
  <c r="P54" i="1"/>
  <c r="P43" i="1"/>
  <c r="P146" i="1"/>
  <c r="P316" i="1"/>
  <c r="P282" i="1"/>
  <c r="P51" i="1"/>
  <c r="P73" i="1"/>
  <c r="P318" i="1"/>
  <c r="P155" i="1"/>
  <c r="P187" i="1"/>
  <c r="P176" i="1"/>
  <c r="P189" i="1"/>
  <c r="P279" i="1"/>
  <c r="P300" i="1"/>
  <c r="P222" i="1"/>
  <c r="P118" i="1"/>
  <c r="P251" i="1"/>
  <c r="P254" i="1"/>
  <c r="P102" i="1"/>
  <c r="P149" i="1"/>
  <c r="P235" i="1"/>
  <c r="P22" i="1"/>
  <c r="P292" i="1"/>
  <c r="P72" i="1"/>
  <c r="P361" i="1"/>
  <c r="P392" i="1"/>
  <c r="P210" i="1"/>
  <c r="P401" i="1"/>
  <c r="P49" i="1"/>
  <c r="P237" i="1"/>
  <c r="P156" i="1"/>
</calcChain>
</file>

<file path=xl/sharedStrings.xml><?xml version="1.0" encoding="utf-8"?>
<sst xmlns="http://schemas.openxmlformats.org/spreadsheetml/2006/main" count="4975" uniqueCount="1330">
  <si>
    <t>status</t>
  </si>
  <si>
    <t>nome</t>
  </si>
  <si>
    <t>cpf</t>
  </si>
  <si>
    <t>idade</t>
  </si>
  <si>
    <t>data_nascimento</t>
  </si>
  <si>
    <t>cidade</t>
  </si>
  <si>
    <t>regiao</t>
  </si>
  <si>
    <t>renda_mensal</t>
  </si>
  <si>
    <t>credito_tomado</t>
  </si>
  <si>
    <t>qtde_batalhas</t>
  </si>
  <si>
    <t>nivel_risco</t>
  </si>
  <si>
    <t>flag_inadimplente</t>
  </si>
  <si>
    <t>valor_solicitado</t>
  </si>
  <si>
    <t>Sim</t>
  </si>
  <si>
    <t>Não</t>
  </si>
  <si>
    <t>TERRAS DA TEMPESTADE</t>
  </si>
  <si>
    <t>TERRAS FLUVIAIS</t>
  </si>
  <si>
    <t>NORTE</t>
  </si>
  <si>
    <t>TERRAS DA COROA</t>
  </si>
  <si>
    <t>BRONN ARRYN</t>
  </si>
  <si>
    <t>MEERA PAYNE</t>
  </si>
  <si>
    <t>DORNE</t>
  </si>
  <si>
    <t>MELISANDRE BARATHEON</t>
  </si>
  <si>
    <t>CAMPINA</t>
  </si>
  <si>
    <t>VARYS BRACKEN</t>
  </si>
  <si>
    <t>GARGALO</t>
  </si>
  <si>
    <t>ELLARIA TARLY</t>
  </si>
  <si>
    <t>ESSOS</t>
  </si>
  <si>
    <t>ILHAS DE FERRO</t>
  </si>
  <si>
    <t>BERIC CRAKEHALL</t>
  </si>
  <si>
    <t>LORAS BAELISH</t>
  </si>
  <si>
    <t>MELISANDRE TARGARYEN</t>
  </si>
  <si>
    <t>THEON BARATHEON</t>
  </si>
  <si>
    <t>OESTE</t>
  </si>
  <si>
    <t>RENLY MORMONT</t>
  </si>
  <si>
    <t>EDDARD WESTERLING</t>
  </si>
  <si>
    <t>VALE</t>
  </si>
  <si>
    <t>SANDOR WESTERLING</t>
  </si>
  <si>
    <t>ROBERT CERWYN</t>
  </si>
  <si>
    <t>THOROS HORNWOOD</t>
  </si>
  <si>
    <t>BRIENNE KARSTARK</t>
  </si>
  <si>
    <t>BRAN BOLTON</t>
  </si>
  <si>
    <t>CERSEI GLOVER</t>
  </si>
  <si>
    <t>MARGAERY DONDARRION</t>
  </si>
  <si>
    <t>RENLY STARK</t>
  </si>
  <si>
    <t>LYANNA TARTH</t>
  </si>
  <si>
    <t>DAARIO TARLY</t>
  </si>
  <si>
    <t>18/07/1962</t>
  </si>
  <si>
    <t>10/07/1987</t>
  </si>
  <si>
    <t>20/12/1980</t>
  </si>
  <si>
    <t>15/02/1986</t>
  </si>
  <si>
    <t>05/01/1958</t>
  </si>
  <si>
    <t>05/11/1968</t>
  </si>
  <si>
    <t>14/08/1956</t>
  </si>
  <si>
    <t>03/08/1995</t>
  </si>
  <si>
    <t>04/07/1974</t>
  </si>
  <si>
    <t>08/05/1954</t>
  </si>
  <si>
    <t>27/07/1988</t>
  </si>
  <si>
    <t>01/11/1967</t>
  </si>
  <si>
    <t>12/05/1991</t>
  </si>
  <si>
    <t>19/09/1999</t>
  </si>
  <si>
    <t>05/01/1953</t>
  </si>
  <si>
    <t>N/I</t>
  </si>
  <si>
    <t>Primeira Análise</t>
  </si>
  <si>
    <t>Segunda Análise</t>
  </si>
  <si>
    <t>Liberação de Crédito</t>
  </si>
  <si>
    <t>Tabela de Produtos da Cafeteria</t>
  </si>
  <si>
    <t>ID_Produto</t>
  </si>
  <si>
    <t>Tipo_de_Cafe</t>
  </si>
  <si>
    <t>Tamanho</t>
  </si>
  <si>
    <t>Valor_Unitario</t>
  </si>
  <si>
    <t>Quantidade</t>
  </si>
  <si>
    <t>Ara</t>
  </si>
  <si>
    <t>G</t>
  </si>
  <si>
    <t>Lib</t>
  </si>
  <si>
    <t>M</t>
  </si>
  <si>
    <t>Rob</t>
  </si>
  <si>
    <t>P</t>
  </si>
  <si>
    <t>Falidos e Quebrados LTDA</t>
  </si>
  <si>
    <t xml:space="preserve">Funcionário </t>
  </si>
  <si>
    <t>Produto</t>
  </si>
  <si>
    <t>Vendas</t>
  </si>
  <si>
    <t>Resultado</t>
  </si>
  <si>
    <t>Abrilina</t>
  </si>
  <si>
    <t>Mouse</t>
  </si>
  <si>
    <t>Cheropita</t>
  </si>
  <si>
    <t xml:space="preserve">Teclado </t>
  </si>
  <si>
    <t>Aldegunda</t>
  </si>
  <si>
    <t>Monitor</t>
  </si>
  <si>
    <t>Arquibaldo</t>
  </si>
  <si>
    <t>Gabinete</t>
  </si>
  <si>
    <t>Clarisbadeu</t>
  </si>
  <si>
    <t>Disquete</t>
  </si>
  <si>
    <t>Fredolino</t>
  </si>
  <si>
    <t>Impressora</t>
  </si>
  <si>
    <t>Notas Escolares</t>
  </si>
  <si>
    <t>RA</t>
  </si>
  <si>
    <t>Nome de Aluno</t>
  </si>
  <si>
    <t>Nota 1 Trimestre</t>
  </si>
  <si>
    <t>Nota 2 Trimestre</t>
  </si>
  <si>
    <t>Nota 3 Trimestre</t>
  </si>
  <si>
    <t>Média Final</t>
  </si>
  <si>
    <t>Astro</t>
  </si>
  <si>
    <t>Celeste</t>
  </si>
  <si>
    <t>Elvira</t>
  </si>
  <si>
    <t>Homer</t>
  </si>
  <si>
    <t>Chevrolet Da Silva</t>
  </si>
  <si>
    <t>Recrutamento para vaga de emprego</t>
  </si>
  <si>
    <t>Nome</t>
  </si>
  <si>
    <t>Idade</t>
  </si>
  <si>
    <t>Ensino Médio</t>
  </si>
  <si>
    <t>Curso Técnico</t>
  </si>
  <si>
    <t>Anos de experiência na área</t>
  </si>
  <si>
    <t>Situação</t>
  </si>
  <si>
    <t>Alfa Romeu Julia</t>
  </si>
  <si>
    <t>Fusclaudia de Oliveira</t>
  </si>
  <si>
    <t>Unotavio dos Santos</t>
  </si>
  <si>
    <t>Nissan Silva</t>
  </si>
  <si>
    <t>Ferrari Enzo</t>
  </si>
  <si>
    <t>Requisitos para ser contratado</t>
  </si>
  <si>
    <t>ter idade maior ou igual a 18 anos</t>
  </si>
  <si>
    <t>ter ensino medio completo</t>
  </si>
  <si>
    <t>ter curso de vendedor</t>
  </si>
  <si>
    <t>ter no mínimo 3 anos de experiência na área</t>
  </si>
  <si>
    <t>PROBLEMA</t>
  </si>
  <si>
    <t>COLUNA</t>
  </si>
  <si>
    <t>O QUE FOI FEITO</t>
  </si>
  <si>
    <t>Rótulos de Linha</t>
  </si>
  <si>
    <t>Total Geral</t>
  </si>
  <si>
    <t>Contagem de Inadimplência</t>
  </si>
  <si>
    <t>N/A</t>
  </si>
  <si>
    <t xml:space="preserve">MEEREEN </t>
  </si>
  <si>
    <t>JARDIM DE CIMA</t>
  </si>
  <si>
    <t>MEEREEN</t>
  </si>
  <si>
    <t>SOLAR DO ENTARDECER</t>
  </si>
  <si>
    <t>CASTELO NEGRO</t>
  </si>
  <si>
    <t>PYKE</t>
  </si>
  <si>
    <t>NINHO DA ÁGUIA</t>
  </si>
  <si>
    <t>BRAAVOS</t>
  </si>
  <si>
    <t>PEDRA DO DRAGÃO</t>
  </si>
  <si>
    <t>ILHA DOS URSOS</t>
  </si>
  <si>
    <t>LANNISPORTO</t>
  </si>
  <si>
    <t>VILAVELHA</t>
  </si>
  <si>
    <t>FOSSO CAILIN</t>
  </si>
  <si>
    <t>PORTO REAL</t>
  </si>
  <si>
    <t xml:space="preserve">ILHA DOS URSOS </t>
  </si>
  <si>
    <t xml:space="preserve">PYKE </t>
  </si>
  <si>
    <t xml:space="preserve">FOSSO CAILIN </t>
  </si>
  <si>
    <t>ATALAIA DA ÁGUA CINZENTA</t>
  </si>
  <si>
    <t>HARRENHAL</t>
  </si>
  <si>
    <t>PONTA TEMPESTADE</t>
  </si>
  <si>
    <t xml:space="preserve">CASTELO NEGRO </t>
  </si>
  <si>
    <t xml:space="preserve">DORNE </t>
  </si>
  <si>
    <t>WINTERFELL</t>
  </si>
  <si>
    <t>MONTE CHIFRE</t>
  </si>
  <si>
    <t xml:space="preserve">LANNISPORTO </t>
  </si>
  <si>
    <t xml:space="preserve">HARRENHAL </t>
  </si>
  <si>
    <t>CORRERIO</t>
  </si>
  <si>
    <t xml:space="preserve">PEDRA DO DRAGÃO </t>
  </si>
  <si>
    <t xml:space="preserve">ATALAIA DA ÁGUA CINZENTA </t>
  </si>
  <si>
    <t xml:space="preserve">JARDIM DE CIMA </t>
  </si>
  <si>
    <t xml:space="preserve">MONTE CHIFRE </t>
  </si>
  <si>
    <t xml:space="preserve">BRAAVOS </t>
  </si>
  <si>
    <t xml:space="preserve"> TERRAS FLUVIAIS</t>
  </si>
  <si>
    <t xml:space="preserve"> NORTE</t>
  </si>
  <si>
    <t xml:space="preserve"> ILHAS DE FERRO</t>
  </si>
  <si>
    <t xml:space="preserve"> DORNE</t>
  </si>
  <si>
    <t xml:space="preserve"> OESTE</t>
  </si>
  <si>
    <t xml:space="preserve"> TERRAS DA COROA</t>
  </si>
  <si>
    <t xml:space="preserve"> GARGALO</t>
  </si>
  <si>
    <t xml:space="preserve"> CAMPINA</t>
  </si>
  <si>
    <t>ATIVO</t>
  </si>
  <si>
    <t>INATIVO</t>
  </si>
  <si>
    <t>AEGON BAELISH</t>
  </si>
  <si>
    <t>AEGON BLACKWOOD</t>
  </si>
  <si>
    <t>AEGON BRACKEN</t>
  </si>
  <si>
    <t>AEGON CLEGANE</t>
  </si>
  <si>
    <t>AEGON FLORENT</t>
  </si>
  <si>
    <t>AEGON FREY</t>
  </si>
  <si>
    <t>AEGON HORNWOOD</t>
  </si>
  <si>
    <t>AEGON MARBRAND</t>
  </si>
  <si>
    <t>AEGON REDWYNE</t>
  </si>
  <si>
    <t>AEGON UMBER</t>
  </si>
  <si>
    <t>ARYA BOLTON</t>
  </si>
  <si>
    <t>ARYA MARBRAND</t>
  </si>
  <si>
    <t>ARYA REDWYNE</t>
  </si>
  <si>
    <t>ASHA ARRYN</t>
  </si>
  <si>
    <t>ASHA BARATHEON</t>
  </si>
  <si>
    <t>ASHA BLACKWOOD</t>
  </si>
  <si>
    <t>ASHA BOLTON</t>
  </si>
  <si>
    <t>ASHA HORNWOOD</t>
  </si>
  <si>
    <t>ASHA MANDERLY</t>
  </si>
  <si>
    <t>ASHA REDWYNE</t>
  </si>
  <si>
    <t>ASHA TALLHART</t>
  </si>
  <si>
    <t>BERIC  KARSTARK</t>
  </si>
  <si>
    <t>BERIC  UMBER</t>
  </si>
  <si>
    <t>BERIC MANDERLY</t>
  </si>
  <si>
    <t>BERIC SEAWORTH</t>
  </si>
  <si>
    <t>BERIC TALLHART</t>
  </si>
  <si>
    <t>BERIC TYRELL</t>
  </si>
  <si>
    <t>BRAN DAYNE</t>
  </si>
  <si>
    <t>BRAN DONDARRION</t>
  </si>
  <si>
    <t>BRAN FLORENT</t>
  </si>
  <si>
    <t>BRAN FREY</t>
  </si>
  <si>
    <t>BRAN KARSTARK</t>
  </si>
  <si>
    <t>BRAN TARLY</t>
  </si>
  <si>
    <t>BRAN UMBER</t>
  </si>
  <si>
    <t>BRAN YRONWOOD</t>
  </si>
  <si>
    <t>BRIENNE DAYNE</t>
  </si>
  <si>
    <t>BRIENNE DONDARRION</t>
  </si>
  <si>
    <t>BRIENNE GLOVER</t>
  </si>
  <si>
    <t>BRIENNE MALLISTER</t>
  </si>
  <si>
    <t>BRIENNE MANDERLY</t>
  </si>
  <si>
    <t>BRIENNE REED</t>
  </si>
  <si>
    <t>BRIENNE ROYCE</t>
  </si>
  <si>
    <t>BRIENNE WESTERLING</t>
  </si>
  <si>
    <t>BRONN BARATHEON</t>
  </si>
  <si>
    <t>BRONN BLACKWOOD</t>
  </si>
  <si>
    <t>BRONN BOLTON</t>
  </si>
  <si>
    <t>BRONN CRAKEHALL</t>
  </si>
  <si>
    <t>BRONN DONDARRION</t>
  </si>
  <si>
    <t>BRONN MALLISTER</t>
  </si>
  <si>
    <t>BRONN MANDERLY</t>
  </si>
  <si>
    <t>BRONN ROYCE</t>
  </si>
  <si>
    <t>BRONN STARK</t>
  </si>
  <si>
    <t>BRONN UMBER</t>
  </si>
  <si>
    <t>CATELYN  DAYNE</t>
  </si>
  <si>
    <t>CATELYN CERWYN</t>
  </si>
  <si>
    <t>CATELYN LANNISTER</t>
  </si>
  <si>
    <t>CATELYN MALLISTER</t>
  </si>
  <si>
    <t>CATELYN TARLY</t>
  </si>
  <si>
    <t>CATELYN UMBER</t>
  </si>
  <si>
    <t>CATELYN WESTERLING</t>
  </si>
  <si>
    <t>CATELYN YRONWOOD</t>
  </si>
  <si>
    <t>CERSEI  MARBRAND</t>
  </si>
  <si>
    <t>CERSEI CLEGANE</t>
  </si>
  <si>
    <t>CERSEI GREYJOY</t>
  </si>
  <si>
    <t>CERSEI STARK</t>
  </si>
  <si>
    <t>CERSEI TARTH</t>
  </si>
  <si>
    <t>CERSEI UMBER</t>
  </si>
  <si>
    <t>DAARIO  DAYNE</t>
  </si>
  <si>
    <t>DAARIO ARRYN</t>
  </si>
  <si>
    <t>DAARIO CERWYN</t>
  </si>
  <si>
    <t>DAARIO CLEGANE</t>
  </si>
  <si>
    <t>DAARIO MARBRAND</t>
  </si>
  <si>
    <t>DAARIO TARTH</t>
  </si>
  <si>
    <t>DAARIO TYRELL</t>
  </si>
  <si>
    <t>DAARIO YRONWOOD</t>
  </si>
  <si>
    <t>DAENERYS SEAWORTH</t>
  </si>
  <si>
    <t>DAENERYS SNOW</t>
  </si>
  <si>
    <t>DAENERYS TALLHART</t>
  </si>
  <si>
    <t>DAVOS  BARATHEON</t>
  </si>
  <si>
    <t>DAVOS ROYCE</t>
  </si>
  <si>
    <t>DAVOS TYRELL</t>
  </si>
  <si>
    <t>DAVOS UMBER</t>
  </si>
  <si>
    <t>EDDARD CRAKEHALL</t>
  </si>
  <si>
    <t>EDDARD DAYNE</t>
  </si>
  <si>
    <t>EDDARD GREYJOY</t>
  </si>
  <si>
    <t>EDDARD MALLISTER</t>
  </si>
  <si>
    <t>EDDARD PAYNE</t>
  </si>
  <si>
    <t>EDDARD ROYCE</t>
  </si>
  <si>
    <t>EDDARD STARK</t>
  </si>
  <si>
    <t>ELLARIA  REED</t>
  </si>
  <si>
    <t>ELLARIA BAELISH</t>
  </si>
  <si>
    <t>ELLARIA BRACKEN</t>
  </si>
  <si>
    <t>ELLARIA CERWYN</t>
  </si>
  <si>
    <t>ELLARIA MALLISTER</t>
  </si>
  <si>
    <t>ELLARIA MARTELL</t>
  </si>
  <si>
    <t>ELLARIA MORMONT</t>
  </si>
  <si>
    <t>ELLARIA REDWYNE</t>
  </si>
  <si>
    <t>ELLARIA SEAWORTH</t>
  </si>
  <si>
    <t>ELLARIA SWYFT</t>
  </si>
  <si>
    <t>ELLARIA TARGARYEN</t>
  </si>
  <si>
    <t>ELLARIA YRONWOOD</t>
  </si>
  <si>
    <t>GENDRY CERWYN</t>
  </si>
  <si>
    <t>GENDRY HIGHTOWER</t>
  </si>
  <si>
    <t>GILLY FREY</t>
  </si>
  <si>
    <t>GILLY GLOVER</t>
  </si>
  <si>
    <t>GILLY MARBRAND</t>
  </si>
  <si>
    <t>GILLY MORMONT</t>
  </si>
  <si>
    <t>GILLY SWYFT</t>
  </si>
  <si>
    <t>GREY  WORM  GREYJOY</t>
  </si>
  <si>
    <t>GREY WORM BARATHEON</t>
  </si>
  <si>
    <t>GREY WORM DONDARRION</t>
  </si>
  <si>
    <t>GREY WORM HORNWOOD</t>
  </si>
  <si>
    <t>GREY WORM TARGARYEN</t>
  </si>
  <si>
    <t>JAIME BRACKEN</t>
  </si>
  <si>
    <t>JAIME DONDARRION</t>
  </si>
  <si>
    <t>JAIME SEAWORTH</t>
  </si>
  <si>
    <t>JAIME YRONWOOD</t>
  </si>
  <si>
    <t>JEOR  PAYNE</t>
  </si>
  <si>
    <t>JEOR BAELISH</t>
  </si>
  <si>
    <t>JEOR CLEGANE</t>
  </si>
  <si>
    <t>JEOR FLORENT</t>
  </si>
  <si>
    <t>JEOR KARSTARK</t>
  </si>
  <si>
    <t>JEOR LANNISTER</t>
  </si>
  <si>
    <t>JEOR MALLISTER</t>
  </si>
  <si>
    <t>JEOR MARBRAND</t>
  </si>
  <si>
    <t>JEOR MARTELL</t>
  </si>
  <si>
    <t>JOJEN DAYNE</t>
  </si>
  <si>
    <t>JOJEN FLORENT</t>
  </si>
  <si>
    <t>JOJEN HORNWOOD</t>
  </si>
  <si>
    <t>JOJEN REDWYNE</t>
  </si>
  <si>
    <t>JOJEN REED</t>
  </si>
  <si>
    <t>JON  KARSTARK</t>
  </si>
  <si>
    <t>JON BAELISH</t>
  </si>
  <si>
    <t>JON BOLTON</t>
  </si>
  <si>
    <t>JON CERWYN</t>
  </si>
  <si>
    <t>JON DAYNE</t>
  </si>
  <si>
    <t>JON HIGHTOWER</t>
  </si>
  <si>
    <t>JON HORNWOOD</t>
  </si>
  <si>
    <t>JON MARBRAND</t>
  </si>
  <si>
    <t>JON TARTH</t>
  </si>
  <si>
    <t>JORAH  TYRELL</t>
  </si>
  <si>
    <t>JORAH DONDARRION</t>
  </si>
  <si>
    <t>JORAH FLORENT</t>
  </si>
  <si>
    <t>JORAH HIGHTOWER</t>
  </si>
  <si>
    <t>JORAH MARBRAND</t>
  </si>
  <si>
    <t>JORAH REDWYNE</t>
  </si>
  <si>
    <t>JORAH SEAWORTH</t>
  </si>
  <si>
    <t>JORAH STARK</t>
  </si>
  <si>
    <t>LORAS  TARTH</t>
  </si>
  <si>
    <t>LORAS BRACKEN</t>
  </si>
  <si>
    <t>LORAS CLEGANE</t>
  </si>
  <si>
    <t>LORAS FREY</t>
  </si>
  <si>
    <t>LORAS GREYJOY</t>
  </si>
  <si>
    <t>LORAS LANNISTER</t>
  </si>
  <si>
    <t>LORAS MANDERLY</t>
  </si>
  <si>
    <t>LORAS PAYNE</t>
  </si>
  <si>
    <t>LYANNA FLORENT</t>
  </si>
  <si>
    <t>LYANNA MARBRAND</t>
  </si>
  <si>
    <t>LYANNA SEAWORTH</t>
  </si>
  <si>
    <t>LYANNA STARK</t>
  </si>
  <si>
    <t>LYANNA SWYFT</t>
  </si>
  <si>
    <t>LYANNA TARLY</t>
  </si>
  <si>
    <t>LYANNA WESTERLING</t>
  </si>
  <si>
    <t>MARGAERY  HORNWOOD</t>
  </si>
  <si>
    <t>MARGAERY CERWYN</t>
  </si>
  <si>
    <t>MARGAERY DAYNE</t>
  </si>
  <si>
    <t>MARGAERY MANDERLY</t>
  </si>
  <si>
    <t>MARGAERY MARBRAND</t>
  </si>
  <si>
    <t>MARGAERY REDWYNE</t>
  </si>
  <si>
    <t>MARGAERY TARLY</t>
  </si>
  <si>
    <t>MARGAERY TYRELL</t>
  </si>
  <si>
    <t>MEERA LANNISTER</t>
  </si>
  <si>
    <t>MEERA REED</t>
  </si>
  <si>
    <t>MEERA TARLY</t>
  </si>
  <si>
    <t>MELISANDRE  BAELISH</t>
  </si>
  <si>
    <t>MELISANDRE BLACKWOOD</t>
  </si>
  <si>
    <t>MELISANDRE CERWYN</t>
  </si>
  <si>
    <t>MELISANDRE CLEGANE</t>
  </si>
  <si>
    <t>MELISANDRE CRAKEHALL</t>
  </si>
  <si>
    <t>MELISANDRE GLOVER</t>
  </si>
  <si>
    <t>MISSANDEI  TARLY</t>
  </si>
  <si>
    <t>MISSANDEI ARRYN</t>
  </si>
  <si>
    <t>MISSANDEI FLORENT</t>
  </si>
  <si>
    <t>MISSANDEI GLOVER</t>
  </si>
  <si>
    <t>MISSANDEI KARSTARK</t>
  </si>
  <si>
    <t>MISSANDEI REDWYNE</t>
  </si>
  <si>
    <t>MISSANDEI TARLY</t>
  </si>
  <si>
    <t>OLENNA ARRYN</t>
  </si>
  <si>
    <t>OLENNA BAELISH</t>
  </si>
  <si>
    <t>OLENNA BRACKEN</t>
  </si>
  <si>
    <t>OLENNA HORNWOOD</t>
  </si>
  <si>
    <t>OLENNA LANNISTER</t>
  </si>
  <si>
    <t>OLENNA REED</t>
  </si>
  <si>
    <t>PETYR GREYJOY</t>
  </si>
  <si>
    <t>PETYR KARSTARK</t>
  </si>
  <si>
    <t>PETYR MALLISTER</t>
  </si>
  <si>
    <t>PETYR SNOW</t>
  </si>
  <si>
    <t>PETYR SWYFT</t>
  </si>
  <si>
    <t>PETYR YRONWOOD</t>
  </si>
  <si>
    <t>PODRICK BLACKWOOD</t>
  </si>
  <si>
    <t>PODRICK DAYNE</t>
  </si>
  <si>
    <t>PODRICK FLORENT</t>
  </si>
  <si>
    <t>PODRICK STARK</t>
  </si>
  <si>
    <t>PODRICK SWYFT</t>
  </si>
  <si>
    <t>PODRICK TARGARYEN</t>
  </si>
  <si>
    <t>PODRICK UMBER</t>
  </si>
  <si>
    <t>RAMSAY BLACKWOOD</t>
  </si>
  <si>
    <t>RAMSAY DAYNE</t>
  </si>
  <si>
    <t>RAMSAY DONDARRION</t>
  </si>
  <si>
    <t>RAMSAY HORNWOOD</t>
  </si>
  <si>
    <t>RAMSAY KARSTARK</t>
  </si>
  <si>
    <t>RAMSAY STARK</t>
  </si>
  <si>
    <t>RAMSAY TARLY</t>
  </si>
  <si>
    <t>RENLY BLACKWOOD</t>
  </si>
  <si>
    <t>RENLY BOLTON</t>
  </si>
  <si>
    <t>RENLY DAYNE</t>
  </si>
  <si>
    <t>RENLY MALLISTER</t>
  </si>
  <si>
    <t>RENLY REDWYNE</t>
  </si>
  <si>
    <t>RENLY SEAWORTH</t>
  </si>
  <si>
    <t>RENLY TALLHART</t>
  </si>
  <si>
    <t>RHAEGAR DAYNE</t>
  </si>
  <si>
    <t>RHAEGAR HORNWOOD</t>
  </si>
  <si>
    <t>RHAEGAR LANNISTER</t>
  </si>
  <si>
    <t>RHAEGAR MORMONT</t>
  </si>
  <si>
    <t>RHAEGAR PAYNE</t>
  </si>
  <si>
    <t>RHAEGAR STARK</t>
  </si>
  <si>
    <t>RHAEGAR TALLHART</t>
  </si>
  <si>
    <t>RHAEGAR TARGARYEN</t>
  </si>
  <si>
    <t>RHAEGAR UMBER</t>
  </si>
  <si>
    <t>RICKON CRAKEHALL</t>
  </si>
  <si>
    <t>RICKON FREY</t>
  </si>
  <si>
    <t>RICKON HORNWOOD</t>
  </si>
  <si>
    <t>RICKON KARSTARK</t>
  </si>
  <si>
    <t>RICKON LANNISTER</t>
  </si>
  <si>
    <t>RICKON REDWYNE</t>
  </si>
  <si>
    <t>RICKON TARGARYEN</t>
  </si>
  <si>
    <t>ROBB BARATHEON</t>
  </si>
  <si>
    <t>ROBB CLEGANE</t>
  </si>
  <si>
    <t>ROBB GREYJOY</t>
  </si>
  <si>
    <t>ROBB REED</t>
  </si>
  <si>
    <t>ROBB STARK</t>
  </si>
  <si>
    <t>ROBERT HORNWOOD</t>
  </si>
  <si>
    <t>ROBERT KARSTARK</t>
  </si>
  <si>
    <t>ROBERT MALLISTER</t>
  </si>
  <si>
    <t>ROBERT MANDERLY</t>
  </si>
  <si>
    <t>ROBERT PAYNE</t>
  </si>
  <si>
    <t>ROBERT STARK</t>
  </si>
  <si>
    <t>ROBERT TARTH</t>
  </si>
  <si>
    <t>ROBERT WESTERLING</t>
  </si>
  <si>
    <t>ROBERT YRONWOOD</t>
  </si>
  <si>
    <t>ROOSE BAELISH</t>
  </si>
  <si>
    <t>ROOSE BOLTON</t>
  </si>
  <si>
    <t>ROOSE BRACKEN</t>
  </si>
  <si>
    <t>ROOSE CERWYN</t>
  </si>
  <si>
    <t>ROOSE DONDARRION</t>
  </si>
  <si>
    <t>ROOSE FREY</t>
  </si>
  <si>
    <t>ROOSE MANDERLY</t>
  </si>
  <si>
    <t>SAMWELL GLOVER</t>
  </si>
  <si>
    <t>SAMWELL YRONWOOD</t>
  </si>
  <si>
    <t>SANDOR CLEGANE</t>
  </si>
  <si>
    <t>SANDOR DONDARRION</t>
  </si>
  <si>
    <t>SANSA CLEGANE</t>
  </si>
  <si>
    <t>SANSA DONDARRION</t>
  </si>
  <si>
    <t>SHAE  DAYNE</t>
  </si>
  <si>
    <t>SHAE BLACKWOOD</t>
  </si>
  <si>
    <t>SHAE CLEGANE</t>
  </si>
  <si>
    <t>SHAE FREY</t>
  </si>
  <si>
    <t>SHAE MORMONT</t>
  </si>
  <si>
    <t>SHAE SEAWORTH</t>
  </si>
  <si>
    <t>SHAE TARLY</t>
  </si>
  <si>
    <t>STANNIS  CERWYN</t>
  </si>
  <si>
    <t>STANNIS CRAKEHALL</t>
  </si>
  <si>
    <t>STANNIS GREYJOY</t>
  </si>
  <si>
    <t>STANNIS LANNISTER</t>
  </si>
  <si>
    <t>STANNIS REDWYNE</t>
  </si>
  <si>
    <t>STANNIS SEAWORTH</t>
  </si>
  <si>
    <t>STANNIS WESTERLING</t>
  </si>
  <si>
    <t>THEON BAELISH</t>
  </si>
  <si>
    <t>THEON FREY</t>
  </si>
  <si>
    <t>THEON KARSTARK</t>
  </si>
  <si>
    <t>THEON TARTH</t>
  </si>
  <si>
    <t>THOROS  BAELISH</t>
  </si>
  <si>
    <t>THOROS  FREY</t>
  </si>
  <si>
    <t>THOROS CLEGANE</t>
  </si>
  <si>
    <t>THOROS CRAKEHALL</t>
  </si>
  <si>
    <t>THOROS GREYJOY</t>
  </si>
  <si>
    <t>THOROS KARSTARK</t>
  </si>
  <si>
    <t>THOROS PAYNE</t>
  </si>
  <si>
    <t>THOROS TARTH</t>
  </si>
  <si>
    <t>THOROS WESTERLING</t>
  </si>
  <si>
    <t>THOROS YRONWOOD</t>
  </si>
  <si>
    <t>TORMUND  CERWYN</t>
  </si>
  <si>
    <t>TORMUND GLOVER</t>
  </si>
  <si>
    <t>TORMUND GREYJOY</t>
  </si>
  <si>
    <t>TORMUND KARSTARK</t>
  </si>
  <si>
    <t>TORMUND ROYCE</t>
  </si>
  <si>
    <t>TORMUND TYRELL</t>
  </si>
  <si>
    <t>TORMUND YRONWOOD</t>
  </si>
  <si>
    <t>TYRION BLACKWOOD</t>
  </si>
  <si>
    <t>TYRION CLEGANE</t>
  </si>
  <si>
    <t>TYRION KARSTARK</t>
  </si>
  <si>
    <t>TYRION LANNISTER</t>
  </si>
  <si>
    <t>TYRION SNOW</t>
  </si>
  <si>
    <t>TYRION TYRELL</t>
  </si>
  <si>
    <t>TYRION WESTERLING</t>
  </si>
  <si>
    <t>VARYS  BLACKWOOD</t>
  </si>
  <si>
    <t>VARYS  STARK</t>
  </si>
  <si>
    <t>VARYS ARRYN</t>
  </si>
  <si>
    <t>VARYS BLACKWOOD</t>
  </si>
  <si>
    <t>VARYS BOLTON</t>
  </si>
  <si>
    <t>VARYS FLORENT</t>
  </si>
  <si>
    <t>VARYS LANNISTER</t>
  </si>
  <si>
    <t>VARYS TALLHART</t>
  </si>
  <si>
    <t>VARYS TARGARYEN</t>
  </si>
  <si>
    <t>VISERYS  UMBER</t>
  </si>
  <si>
    <t>VISERYS BARATHEON</t>
  </si>
  <si>
    <t>VISERYS FLORENT</t>
  </si>
  <si>
    <t>VISERYS HIGHTOWER</t>
  </si>
  <si>
    <t>VISERYS SEAWORTH</t>
  </si>
  <si>
    <t>YARA  MARBRAND</t>
  </si>
  <si>
    <t>YARA BAELISH</t>
  </si>
  <si>
    <t>YARA MALLISTER</t>
  </si>
  <si>
    <t>YARA PAYNE</t>
  </si>
  <si>
    <t>YARA ROYCE</t>
  </si>
  <si>
    <t>YARA TALLHART</t>
  </si>
  <si>
    <t>YARA TARGARYEN</t>
  </si>
  <si>
    <t>MOTIVO</t>
  </si>
  <si>
    <t xml:space="preserve">Células vazias ; Divergência de formato "inativo, Inativo, Ativo, ativo, ativoo, inativoo, loqueado" </t>
  </si>
  <si>
    <t>Divergência de formato ; Nomes duplicados</t>
  </si>
  <si>
    <t>Divergência de formato ; células vazias ou não informadas</t>
  </si>
  <si>
    <t>Células com texto e números ; Células vazias</t>
  </si>
  <si>
    <t>Divergência de formato "sim, Sim, Não, nao, Nao, não" ; Células vazias</t>
  </si>
  <si>
    <t xml:space="preserve">Divergência de dados "Moedas" ; Formatação da célula fora de moeda </t>
  </si>
  <si>
    <t>Divergência de dados "Moedas" ; Formatação da célula fora de moeda ; Células vazias</t>
  </si>
  <si>
    <t>Dados com separação por "|" ; Divergência de formato (maiúscula e minúscula)</t>
  </si>
  <si>
    <t xml:space="preserve">Células com texto e números ; Células vazias </t>
  </si>
  <si>
    <t>Aguardando fórmula</t>
  </si>
  <si>
    <t>"=SE(J9&gt;25;"Alto"; SE(J9&lt;=10;"Baixo";"Médio"))"</t>
  </si>
  <si>
    <t>"=SE(E(K2="Alto";L2="Sim");"Negado";"Aprovado")"</t>
  </si>
  <si>
    <t>"=SE(E(N2="Negado";O2="Negado");0; SE(A2="Ativo";M2*8%;0))"</t>
  </si>
  <si>
    <t>Formatar padrão sem perder informações e sem usar power query pois meu excel não suporta kkkk</t>
  </si>
  <si>
    <t>transformei todos os dados em números brutos retirando pontos e traços, após isso apliquei a formatação de (000.000.000-"00"); Considerei células vazias como um padrão 000.000.000-00 para não deixar vazio.</t>
  </si>
  <si>
    <t>Transformei todos os formatos em data separada por "/" nas opções de formatação células;adicionei "N/I" nas células vazias sinalizando o Não Informado</t>
  </si>
  <si>
    <t>Status &amp; Liberação de crédito</t>
  </si>
  <si>
    <t>campina</t>
  </si>
  <si>
    <t>Jardim de Cima</t>
  </si>
  <si>
    <t>000.000.036-00</t>
  </si>
  <si>
    <t>Bronn Dondarrion</t>
  </si>
  <si>
    <t>Ativo</t>
  </si>
  <si>
    <t>Monte Chifre</t>
  </si>
  <si>
    <t>000.000.253-00</t>
  </si>
  <si>
    <t>Rhaegar Payne</t>
  </si>
  <si>
    <t>Vale</t>
  </si>
  <si>
    <t>Ninho da Águia</t>
  </si>
  <si>
    <t>Renly Bolton</t>
  </si>
  <si>
    <t>Inativo</t>
  </si>
  <si>
    <t>29500 moedas</t>
  </si>
  <si>
    <t>Fosso Cailin</t>
  </si>
  <si>
    <t>000.000.280-00</t>
  </si>
  <si>
    <t>Thoros Tarth</t>
  </si>
  <si>
    <t>Braavos</t>
  </si>
  <si>
    <t>Eddard Dayne</t>
  </si>
  <si>
    <t>sem renda</t>
  </si>
  <si>
    <t>Essos</t>
  </si>
  <si>
    <t>000.000.269-00</t>
  </si>
  <si>
    <t>Bran Tarly</t>
  </si>
  <si>
    <t>Meereen</t>
  </si>
  <si>
    <t>Jon Baelish</t>
  </si>
  <si>
    <t>000.000.329-00</t>
  </si>
  <si>
    <t>Melisandre Glover</t>
  </si>
  <si>
    <t>Harrenhal</t>
  </si>
  <si>
    <t>Cersei Tarth</t>
  </si>
  <si>
    <t>000.000.356-00</t>
  </si>
  <si>
    <t>Aegon Umber</t>
  </si>
  <si>
    <t>Nao</t>
  </si>
  <si>
    <t>16000 moedas</t>
  </si>
  <si>
    <t>20800 moedas</t>
  </si>
  <si>
    <t>Campina</t>
  </si>
  <si>
    <t>000.000.080-00</t>
  </si>
  <si>
    <t>Viserys Hightower</t>
  </si>
  <si>
    <t>11400 moedas</t>
  </si>
  <si>
    <t>000.000.281-00</t>
  </si>
  <si>
    <t>Tyrion Clegane</t>
  </si>
  <si>
    <t>Dorne</t>
  </si>
  <si>
    <t>000.000.046-00</t>
  </si>
  <si>
    <t>Terras da Tempestade</t>
  </si>
  <si>
    <t>Solar do Entardecer</t>
  </si>
  <si>
    <t>000.000.107-00</t>
  </si>
  <si>
    <t>Margaery Tyrell</t>
  </si>
  <si>
    <t>não</t>
  </si>
  <si>
    <t>Ilhas de Ferro</t>
  </si>
  <si>
    <t>Pyke</t>
  </si>
  <si>
    <t>Robert Manderly</t>
  </si>
  <si>
    <t>norte</t>
  </si>
  <si>
    <t>Ilha dos Ursos</t>
  </si>
  <si>
    <t>Sandor Dondarrion</t>
  </si>
  <si>
    <t>Ponta Tempestade</t>
  </si>
  <si>
    <t>000.000.060-00</t>
  </si>
  <si>
    <t>Grey Worm Targaryen</t>
  </si>
  <si>
    <t>Oeste</t>
  </si>
  <si>
    <t>Lannisporto</t>
  </si>
  <si>
    <t>000.000.134-00</t>
  </si>
  <si>
    <t>Yara Mallister</t>
  </si>
  <si>
    <t>Norte</t>
  </si>
  <si>
    <t>Winterfell</t>
  </si>
  <si>
    <t>Renly Tallhart</t>
  </si>
  <si>
    <t>000.000.123-00</t>
  </si>
  <si>
    <t>Theon Frey</t>
  </si>
  <si>
    <t>Ativoo</t>
  </si>
  <si>
    <t>000.000.314-00</t>
  </si>
  <si>
    <t>Meera Reed</t>
  </si>
  <si>
    <t>Jon Hornwood</t>
  </si>
  <si>
    <t>sim</t>
  </si>
  <si>
    <t>Terras da Coroa</t>
  </si>
  <si>
    <t>Porto Real</t>
  </si>
  <si>
    <t>000.000.286-00</t>
  </si>
  <si>
    <t>Loras  Tarth</t>
  </si>
  <si>
    <t>000.000.013-00</t>
  </si>
  <si>
    <t>Rickon Frey</t>
  </si>
  <si>
    <t>000.000.027-00</t>
  </si>
  <si>
    <t>loras payne</t>
  </si>
  <si>
    <t>terras fluviais</t>
  </si>
  <si>
    <t>Correrrio</t>
  </si>
  <si>
    <t>Petyr Mallister</t>
  </si>
  <si>
    <t>Terras Fluviais</t>
  </si>
  <si>
    <t>000.000.246-00</t>
  </si>
  <si>
    <t>Robb Reed</t>
  </si>
  <si>
    <t>gargalo</t>
  </si>
  <si>
    <t>Atalaia da Água Cinzenta</t>
  </si>
  <si>
    <t>Gilly Glover</t>
  </si>
  <si>
    <t>Missandei Glover</t>
  </si>
  <si>
    <t>000.000.113-00</t>
  </si>
  <si>
    <t>Thoros  Frey</t>
  </si>
  <si>
    <t>6400 moedas</t>
  </si>
  <si>
    <t>000.000.120-00</t>
  </si>
  <si>
    <t>Melisandre Cerwyn</t>
  </si>
  <si>
    <t>27 batalhas</t>
  </si>
  <si>
    <t>000.000.079-00</t>
  </si>
  <si>
    <t>Davos Tyrell</t>
  </si>
  <si>
    <t>oeste</t>
  </si>
  <si>
    <t>000.000.071-00</t>
  </si>
  <si>
    <t>Stannis Westerling</t>
  </si>
  <si>
    <t>Thoros Westerling</t>
  </si>
  <si>
    <t>4 batalhas</t>
  </si>
  <si>
    <t>000.000.164-00</t>
  </si>
  <si>
    <t>Sandor Clegane</t>
  </si>
  <si>
    <t>Vilavelha</t>
  </si>
  <si>
    <t>Podrick Dayne</t>
  </si>
  <si>
    <t>terras da tempestade</t>
  </si>
  <si>
    <t>000.000.199-00</t>
  </si>
  <si>
    <t>Jojen Dayne</t>
  </si>
  <si>
    <t>terras da coroa</t>
  </si>
  <si>
    <t>Pedra do Dragão</t>
  </si>
  <si>
    <t>Bronn Baratheon</t>
  </si>
  <si>
    <t>48500 moedas</t>
  </si>
  <si>
    <t>Castelo Negro | Norte</t>
  </si>
  <si>
    <t>Rickon Karstark</t>
  </si>
  <si>
    <t>80000 moedas</t>
  </si>
  <si>
    <t>vale</t>
  </si>
  <si>
    <t>000.000.010-00</t>
  </si>
  <si>
    <t>Varys Lannister</t>
  </si>
  <si>
    <t>Bronn Royce</t>
  </si>
  <si>
    <t>000.000.149-00</t>
  </si>
  <si>
    <t>Ellaria Targaryen</t>
  </si>
  <si>
    <t>21600 moedas</t>
  </si>
  <si>
    <t>Pyke | Ilhas de Ferro</t>
  </si>
  <si>
    <t>000.000.367-00</t>
  </si>
  <si>
    <t>19900 moedas</t>
  </si>
  <si>
    <t>Castelo Negro</t>
  </si>
  <si>
    <t>000.000.345-00</t>
  </si>
  <si>
    <t>000.000.213-00</t>
  </si>
  <si>
    <t>Catelyn  Dayne</t>
  </si>
  <si>
    <t>000.000.282-00</t>
  </si>
  <si>
    <t>Missandei Florent</t>
  </si>
  <si>
    <t>Yara Tallhart</t>
  </si>
  <si>
    <t>Thoros Crakehall</t>
  </si>
  <si>
    <t>000.000.103-00</t>
  </si>
  <si>
    <t>Beric Tyrell</t>
  </si>
  <si>
    <t>000.000.302-00</t>
  </si>
  <si>
    <t>Loras Lannister</t>
  </si>
  <si>
    <t>7 batalhas</t>
  </si>
  <si>
    <t>51 anos</t>
  </si>
  <si>
    <t>000.000.019-00</t>
  </si>
  <si>
    <t>Ellaria Cerwyn</t>
  </si>
  <si>
    <t>Terras Da Tempestade</t>
  </si>
  <si>
    <t>000.000.355-00</t>
  </si>
  <si>
    <t>Brienne Glover</t>
  </si>
  <si>
    <t>000.000.118-00</t>
  </si>
  <si>
    <t>Aegon Blackwood</t>
  </si>
  <si>
    <t>46 anos</t>
  </si>
  <si>
    <t>olenna hornwood</t>
  </si>
  <si>
    <t>000.000.004-00</t>
  </si>
  <si>
    <t>Jon Tarth</t>
  </si>
  <si>
    <t>Lyanna Westerling</t>
  </si>
  <si>
    <t>000.000.073-00</t>
  </si>
  <si>
    <t>Jeor Marbrand</t>
  </si>
  <si>
    <t>4000 moedas</t>
  </si>
  <si>
    <t>000.000.298-00</t>
  </si>
  <si>
    <t>Rickon Targaryen</t>
  </si>
  <si>
    <t>Ilha dos Ursos | Norte</t>
  </si>
  <si>
    <t>000.000.189-00</t>
  </si>
  <si>
    <t>Bran Frey</t>
  </si>
  <si>
    <t>000.000.261-00</t>
  </si>
  <si>
    <t>Gilly Swyft</t>
  </si>
  <si>
    <t>000.000.085-00</t>
  </si>
  <si>
    <t>Asha Blackwood</t>
  </si>
  <si>
    <t>26 batalhas</t>
  </si>
  <si>
    <t>Terras Da Coroa</t>
  </si>
  <si>
    <t>000.000.204-00</t>
  </si>
  <si>
    <t>Jorah Florent</t>
  </si>
  <si>
    <t>000.000.109-00</t>
  </si>
  <si>
    <t>Rhaegar Mormont</t>
  </si>
  <si>
    <t>Jaime Bracken</t>
  </si>
  <si>
    <t>Gargalo</t>
  </si>
  <si>
    <t>000.000.275-00</t>
  </si>
  <si>
    <t>Petyr Swyft</t>
  </si>
  <si>
    <t>28 batalhas</t>
  </si>
  <si>
    <t>000.000.312-00</t>
  </si>
  <si>
    <t>Shae  Dayne</t>
  </si>
  <si>
    <t>Roose Bolton</t>
  </si>
  <si>
    <t>41 anos</t>
  </si>
  <si>
    <t>Robert Hornwood</t>
  </si>
  <si>
    <t>NÃO</t>
  </si>
  <si>
    <t>Correrrio | Terras Fluviais</t>
  </si>
  <si>
    <t>Robert Mallister</t>
  </si>
  <si>
    <t>000.000.347-00</t>
  </si>
  <si>
    <t>Aegon Redwyne</t>
  </si>
  <si>
    <t>6 batalhas</t>
  </si>
  <si>
    <t>000.000.353-00</t>
  </si>
  <si>
    <t>Davos Umber</t>
  </si>
  <si>
    <t>000.000.104-00</t>
  </si>
  <si>
    <t>Thoros Yronwood</t>
  </si>
  <si>
    <t>Bran Umber</t>
  </si>
  <si>
    <t>000.000.172-00</t>
  </si>
  <si>
    <t>Beric  Karstark</t>
  </si>
  <si>
    <t>000.000.101-00</t>
  </si>
  <si>
    <t>Sansa Dondarrion</t>
  </si>
  <si>
    <t>30 batalhas</t>
  </si>
  <si>
    <t>Pedra do Dragão | Terras da Coroa</t>
  </si>
  <si>
    <t>000.000.168-00</t>
  </si>
  <si>
    <t>Jorah Marbrand</t>
  </si>
  <si>
    <t>000.000.351-00</t>
  </si>
  <si>
    <t>Stannis Crakehall</t>
  </si>
  <si>
    <t>000.000.202-00</t>
  </si>
  <si>
    <t>Brienne Mallister</t>
  </si>
  <si>
    <t>000.000.062-00</t>
  </si>
  <si>
    <t>Catelyn Mallister</t>
  </si>
  <si>
    <t>74000 moedas</t>
  </si>
  <si>
    <t>000.000.147-00</t>
  </si>
  <si>
    <t>000.000.232-00</t>
  </si>
  <si>
    <t>Lyanna Tarly</t>
  </si>
  <si>
    <t>78000 moedas</t>
  </si>
  <si>
    <t>29700 moedas</t>
  </si>
  <si>
    <t>000.000.015-00</t>
  </si>
  <si>
    <t>Eddard Stark</t>
  </si>
  <si>
    <t>000.000.229-00</t>
  </si>
  <si>
    <t>Jorah  Tyrell</t>
  </si>
  <si>
    <t>000.000.263-00</t>
  </si>
  <si>
    <t>Jaime Seaworth</t>
  </si>
  <si>
    <t>24 batalhas</t>
  </si>
  <si>
    <t>000.000.208-00</t>
  </si>
  <si>
    <t>ativo</t>
  </si>
  <si>
    <t>27300 moedas</t>
  </si>
  <si>
    <t>000.000.105-00</t>
  </si>
  <si>
    <t>Robert Westerling</t>
  </si>
  <si>
    <t>000.000.095-00</t>
  </si>
  <si>
    <t>petyr yronwood</t>
  </si>
  <si>
    <t>000.000.058-00</t>
  </si>
  <si>
    <t>Cersei Umber</t>
  </si>
  <si>
    <t>000.000.339-00</t>
  </si>
  <si>
    <t>3600 moedas</t>
  </si>
  <si>
    <t>Bronn Crakehall</t>
  </si>
  <si>
    <t>000.000.055-00</t>
  </si>
  <si>
    <t>Davos  Baratheon</t>
  </si>
  <si>
    <t>000.000.106-00</t>
  </si>
  <si>
    <t>Renly Blackwood</t>
  </si>
  <si>
    <t>Jon Dayne</t>
  </si>
  <si>
    <t>Lannisporto | Oeste</t>
  </si>
  <si>
    <t>000.000.153-00</t>
  </si>
  <si>
    <t>Gendry Cerwyn</t>
  </si>
  <si>
    <t>000.000.110-00</t>
  </si>
  <si>
    <t>Catelyn Lannister</t>
  </si>
  <si>
    <t>Gilly Marbrand</t>
  </si>
  <si>
    <t>000.000.374-00</t>
  </si>
  <si>
    <t>Thoros Greyjoy</t>
  </si>
  <si>
    <t>000.000.238-00</t>
  </si>
  <si>
    <t>Eddard Greyjoy</t>
  </si>
  <si>
    <t>Tyrion Lannister</t>
  </si>
  <si>
    <t>000.000.315-00</t>
  </si>
  <si>
    <t>Robert Stark</t>
  </si>
  <si>
    <t>000.000.130-00</t>
  </si>
  <si>
    <t>Jon Bolton</t>
  </si>
  <si>
    <t>13 batalhas</t>
  </si>
  <si>
    <t>000.000.112-00</t>
  </si>
  <si>
    <t>Jon Cerwyn</t>
  </si>
  <si>
    <t>000.000.296-00</t>
  </si>
  <si>
    <t>Theon Karstark</t>
  </si>
  <si>
    <t>Ilhas De Ferro</t>
  </si>
  <si>
    <t>000.000.324-00</t>
  </si>
  <si>
    <t>9200 moedas</t>
  </si>
  <si>
    <t>Eddard Payne</t>
  </si>
  <si>
    <t>000.000.007-00</t>
  </si>
  <si>
    <t>Jorah Hightower</t>
  </si>
  <si>
    <t>000.000.111-00</t>
  </si>
  <si>
    <t>missandei redwyne</t>
  </si>
  <si>
    <t>000.000.093-00</t>
  </si>
  <si>
    <t>Ellaria Redwyne</t>
  </si>
  <si>
    <t>Aegon Hornwood</t>
  </si>
  <si>
    <t>000.000.380-00</t>
  </si>
  <si>
    <t>theon baelish</t>
  </si>
  <si>
    <t>000.000.128-00</t>
  </si>
  <si>
    <t>Jojen Hornwood</t>
  </si>
  <si>
    <t>Beric Manderly</t>
  </si>
  <si>
    <t>000.000.379-00</t>
  </si>
  <si>
    <t>Brienne Westerling</t>
  </si>
  <si>
    <t>000.000.100-00</t>
  </si>
  <si>
    <t>Tyrion Blackwood</t>
  </si>
  <si>
    <t>000.000.313-00</t>
  </si>
  <si>
    <t>Bronn Stark</t>
  </si>
  <si>
    <t>000.000.378-00</t>
  </si>
  <si>
    <t>Tormund Tyrell</t>
  </si>
  <si>
    <t>21300 moedas</t>
  </si>
  <si>
    <t>000.000.265-00</t>
  </si>
  <si>
    <t>Cersei Greyjoy</t>
  </si>
  <si>
    <t>52000 moedas</t>
  </si>
  <si>
    <t>000.000.322-00</t>
  </si>
  <si>
    <t>Grey Worm Hornwood</t>
  </si>
  <si>
    <t>18000 moedas</t>
  </si>
  <si>
    <t>000.000.155-00</t>
  </si>
  <si>
    <t>Viserys  Umber</t>
  </si>
  <si>
    <t>60000 moedas</t>
  </si>
  <si>
    <t>000.000.043-00</t>
  </si>
  <si>
    <t>000.000.236-00</t>
  </si>
  <si>
    <t>Stannis Greyjoy</t>
  </si>
  <si>
    <t>18 batalhas</t>
  </si>
  <si>
    <t>000.000.126-00</t>
  </si>
  <si>
    <t>Roose Dondarrion</t>
  </si>
  <si>
    <t>41 batalhas</t>
  </si>
  <si>
    <t>32 anos</t>
  </si>
  <si>
    <t>Roose Cerwyn</t>
  </si>
  <si>
    <t>000.000.144-00</t>
  </si>
  <si>
    <t>Daario  Dayne</t>
  </si>
  <si>
    <t>Aegon Florent</t>
  </si>
  <si>
    <t>000.000.074-00</t>
  </si>
  <si>
    <t>Bronn Manderly</t>
  </si>
  <si>
    <t>000.000.256-00</t>
  </si>
  <si>
    <t>Brienne Dondarrion</t>
  </si>
  <si>
    <t>000.000.220-00</t>
  </si>
  <si>
    <t>Gilly Mormont</t>
  </si>
  <si>
    <t>000.000.020-00</t>
  </si>
  <si>
    <t>Melisandre Baratheon</t>
  </si>
  <si>
    <t>000.000.158-00</t>
  </si>
  <si>
    <t>Cersei  Marbrand</t>
  </si>
  <si>
    <t>000.000.266-00</t>
  </si>
  <si>
    <t>Yara  Marbrand</t>
  </si>
  <si>
    <t>000.000.227-00</t>
  </si>
  <si>
    <t>Robb Greyjoy</t>
  </si>
  <si>
    <t>000.000.001-00</t>
  </si>
  <si>
    <t>Robert Tarth</t>
  </si>
  <si>
    <t>Petyr Snow</t>
  </si>
  <si>
    <t>000.000.008-00</t>
  </si>
  <si>
    <t>Sandor Westerling</t>
  </si>
  <si>
    <t>45500 moedas</t>
  </si>
  <si>
    <t>000.000.260-00</t>
  </si>
  <si>
    <t>Melisandre Crakehall</t>
  </si>
  <si>
    <t>000.000.307-00</t>
  </si>
  <si>
    <t>Shae Mormont</t>
  </si>
  <si>
    <t>000.000.235-00</t>
  </si>
  <si>
    <t>Shae Tarly</t>
  </si>
  <si>
    <t>000.000.003-00</t>
  </si>
  <si>
    <t>000.000.335-00</t>
  </si>
  <si>
    <t>Rhaegar Dayne</t>
  </si>
  <si>
    <t>000.000.303-00</t>
  </si>
  <si>
    <t>renly bolton</t>
  </si>
  <si>
    <t>000.000.114-00</t>
  </si>
  <si>
    <t>Ramsay Tarly</t>
  </si>
  <si>
    <t>4500 moedas</t>
  </si>
  <si>
    <t>000.000.187-00</t>
  </si>
  <si>
    <t>Tormund Yronwood</t>
  </si>
  <si>
    <t>000.000.146-00</t>
  </si>
  <si>
    <t>Margaery Marbrand</t>
  </si>
  <si>
    <t>000.000.041-00</t>
  </si>
  <si>
    <t>Lyanna Seaworth</t>
  </si>
  <si>
    <t>000.000.025-00</t>
  </si>
  <si>
    <t>Beric Seaworth</t>
  </si>
  <si>
    <t>000.000.014-00</t>
  </si>
  <si>
    <t>Daario Marbrand</t>
  </si>
  <si>
    <t>Monte Chifre | Campina</t>
  </si>
  <si>
    <t>Loras Manderly</t>
  </si>
  <si>
    <t>20900 moedas</t>
  </si>
  <si>
    <t>000.000.056-00</t>
  </si>
  <si>
    <t>Jaime Dondarrion</t>
  </si>
  <si>
    <t>14300 moedas</t>
  </si>
  <si>
    <t>dorne</t>
  </si>
  <si>
    <t>000.000.332-00</t>
  </si>
  <si>
    <t>Jeor Baelish</t>
  </si>
  <si>
    <t>essos</t>
  </si>
  <si>
    <t>Bran Dondarrion</t>
  </si>
  <si>
    <t>000.000.304-00</t>
  </si>
  <si>
    <t>Robb Clegane</t>
  </si>
  <si>
    <t>Tyrion Tyrell</t>
  </si>
  <si>
    <t>Olenna Arryn</t>
  </si>
  <si>
    <t>Grey Worm Dondarrion</t>
  </si>
  <si>
    <t>000.000.009-00</t>
  </si>
  <si>
    <t>Tormund Greyjoy</t>
  </si>
  <si>
    <t>000.000.316-00</t>
  </si>
  <si>
    <t>Stannis Seaworth</t>
  </si>
  <si>
    <t>1 batalhas</t>
  </si>
  <si>
    <t>000.000.289-00</t>
  </si>
  <si>
    <t>theon tarth</t>
  </si>
  <si>
    <t>000.000.006-00</t>
  </si>
  <si>
    <t>Asha Tallhart</t>
  </si>
  <si>
    <t>Thoros Payne</t>
  </si>
  <si>
    <t>Jaime Yronwood</t>
  </si>
  <si>
    <t>000.000.031-00</t>
  </si>
  <si>
    <t>000.000.224-00</t>
  </si>
  <si>
    <t>Ramsay Dayne</t>
  </si>
  <si>
    <t>000.000.037-00</t>
  </si>
  <si>
    <t>robert mallister</t>
  </si>
  <si>
    <t>22000 moedas</t>
  </si>
  <si>
    <t>000.000.283-00</t>
  </si>
  <si>
    <t>Lyanna Marbrand</t>
  </si>
  <si>
    <t>Renly Seaworth</t>
  </si>
  <si>
    <t>40 batalhas</t>
  </si>
  <si>
    <t>000.000.197-00</t>
  </si>
  <si>
    <t>Rickon Lannister</t>
  </si>
  <si>
    <t>27 anos</t>
  </si>
  <si>
    <t>Catelyn Tarly</t>
  </si>
  <si>
    <t>Daario Cerwyn</t>
  </si>
  <si>
    <t>000.000.354-00</t>
  </si>
  <si>
    <t>Podrick Florent</t>
  </si>
  <si>
    <t>000.000.122-00</t>
  </si>
  <si>
    <t>Asha Arryn</t>
  </si>
  <si>
    <t>inativo</t>
  </si>
  <si>
    <t>000.000.045-00</t>
  </si>
  <si>
    <t>Renly Redwyne</t>
  </si>
  <si>
    <t>000.000.301-00</t>
  </si>
  <si>
    <t>Petyr Greyjoy</t>
  </si>
  <si>
    <t>Rhaegar Tallhart</t>
  </si>
  <si>
    <t>000.000.023-00</t>
  </si>
  <si>
    <t>Lyanna Stark</t>
  </si>
  <si>
    <t>20100 moedas</t>
  </si>
  <si>
    <t>000.000.061-00</t>
  </si>
  <si>
    <t>Jeor Martell</t>
  </si>
  <si>
    <t>000.000.245-00</t>
  </si>
  <si>
    <t>000.000.326-00</t>
  </si>
  <si>
    <t>Meera Tarly</t>
  </si>
  <si>
    <t>000.000.178-00</t>
  </si>
  <si>
    <t>Rhaegar Hornwood</t>
  </si>
  <si>
    <t>26800 moedas</t>
  </si>
  <si>
    <t>000.000.143-00</t>
  </si>
  <si>
    <t>Bronn Bolton</t>
  </si>
  <si>
    <t>000.000.070-00</t>
  </si>
  <si>
    <t>Brienne Dayne</t>
  </si>
  <si>
    <t>000.000.177-00</t>
  </si>
  <si>
    <t>Bronn Umber</t>
  </si>
  <si>
    <t>000.000.201-00</t>
  </si>
  <si>
    <t>17800 moedas</t>
  </si>
  <si>
    <t>000.000.241-00</t>
  </si>
  <si>
    <t>Bran Karstark</t>
  </si>
  <si>
    <t>Jardim de Cima | Campina</t>
  </si>
  <si>
    <t>000.000.017-00</t>
  </si>
  <si>
    <t>Loras Frey</t>
  </si>
  <si>
    <t>Jorah Redwyne</t>
  </si>
  <si>
    <t>5 batalhas</t>
  </si>
  <si>
    <t>000.000.211-00</t>
  </si>
  <si>
    <t>Margaery Cerwyn</t>
  </si>
  <si>
    <t>000.000.291-00</t>
  </si>
  <si>
    <t>Beric Tallhart</t>
  </si>
  <si>
    <t>Asha Redwyne</t>
  </si>
  <si>
    <t>000.000.097-00</t>
  </si>
  <si>
    <t>Varys Arryn</t>
  </si>
  <si>
    <t>Roose Bracken</t>
  </si>
  <si>
    <t>Varys Tallhart</t>
  </si>
  <si>
    <t>17500 moedas</t>
  </si>
  <si>
    <t>Atalaia da Água Cinzenta | Gargalo</t>
  </si>
  <si>
    <t>000.000.254-00</t>
  </si>
  <si>
    <t>Loras Bracken</t>
  </si>
  <si>
    <t>000.000.258-00</t>
  </si>
  <si>
    <t>Gilly Frey</t>
  </si>
  <si>
    <t>42000 moedas</t>
  </si>
  <si>
    <t>Jeor Clegane</t>
  </si>
  <si>
    <t>000.000.186-00</t>
  </si>
  <si>
    <t>Viserys Baratheon</t>
  </si>
  <si>
    <t>000.000.250-00</t>
  </si>
  <si>
    <t>Yara Payne</t>
  </si>
  <si>
    <t>000.000.148-00</t>
  </si>
  <si>
    <t>Ellaria Martell</t>
  </si>
  <si>
    <t>000.000.012-00</t>
  </si>
  <si>
    <t>Thoros Karstark</t>
  </si>
  <si>
    <t>10 batalhas</t>
  </si>
  <si>
    <t>000.000.169-00</t>
  </si>
  <si>
    <t>Ramsay Stark</t>
  </si>
  <si>
    <t>Petyr Karstark</t>
  </si>
  <si>
    <t>000.000.173-00</t>
  </si>
  <si>
    <t>Daario Arryn</t>
  </si>
  <si>
    <t>000.000.052-00</t>
  </si>
  <si>
    <t>Bronn Blackwood</t>
  </si>
  <si>
    <t>Asha Bolton</t>
  </si>
  <si>
    <t>23000 moedas</t>
  </si>
  <si>
    <t>000.000.259-00</t>
  </si>
  <si>
    <t>Jeor  Payne</t>
  </si>
  <si>
    <t>000.000.182-00</t>
  </si>
  <si>
    <t>Grey  Worm  Greyjoy</t>
  </si>
  <si>
    <t>000.000.115-00</t>
  </si>
  <si>
    <t>Ellaria Swyft</t>
  </si>
  <si>
    <t>000.000.221-00</t>
  </si>
  <si>
    <t>Grey Worm Baratheon</t>
  </si>
  <si>
    <t>29 batalhas</t>
  </si>
  <si>
    <t>000.000.157-00</t>
  </si>
  <si>
    <t>Ellaria Mormont</t>
  </si>
  <si>
    <t>000.000.357-00</t>
  </si>
  <si>
    <t>Asha Manderly</t>
  </si>
  <si>
    <t>000.000.242-00</t>
  </si>
  <si>
    <t>Aegon Marbrand</t>
  </si>
  <si>
    <t>000.000.225-00</t>
  </si>
  <si>
    <t>Olenna Bracken</t>
  </si>
  <si>
    <t>Varys  Blackwood</t>
  </si>
  <si>
    <t>000.000.094-00</t>
  </si>
  <si>
    <t>000.000.373-00</t>
  </si>
  <si>
    <t>Varys Blackwood</t>
  </si>
  <si>
    <t>Rhaegar Lannister</t>
  </si>
  <si>
    <t>000.000.181-00</t>
  </si>
  <si>
    <t>Eddard Royce</t>
  </si>
  <si>
    <t>19 batalhas</t>
  </si>
  <si>
    <t>000.000.376-00</t>
  </si>
  <si>
    <t>000.000.310-00</t>
  </si>
  <si>
    <t>Jeor Karstark</t>
  </si>
  <si>
    <t>Varys  Stark</t>
  </si>
  <si>
    <t>Tyrion Karstark</t>
  </si>
  <si>
    <t>Podrick Blackwood</t>
  </si>
  <si>
    <t>000.000.297-00</t>
  </si>
  <si>
    <t>tormund royce</t>
  </si>
  <si>
    <t>000.000.075-00</t>
  </si>
  <si>
    <t>Robert Yronwood</t>
  </si>
  <si>
    <t>25100 moedas</t>
  </si>
  <si>
    <t>000.000.152-00</t>
  </si>
  <si>
    <t>Melisandre  Baelish</t>
  </si>
  <si>
    <t>SIM</t>
  </si>
  <si>
    <t>22900 moedas</t>
  </si>
  <si>
    <t>000.000.375-00</t>
  </si>
  <si>
    <t>000.000.141-00</t>
  </si>
  <si>
    <t>Thoros Clegane</t>
  </si>
  <si>
    <t>Samwell Glover</t>
  </si>
  <si>
    <t>Catelyn Umber</t>
  </si>
  <si>
    <t>Harrenhal | Terras Fluviais</t>
  </si>
  <si>
    <t>Varys Florent</t>
  </si>
  <si>
    <t>Beric  Umber</t>
  </si>
  <si>
    <t>Tyrion Snow</t>
  </si>
  <si>
    <t>ilhas de ferro</t>
  </si>
  <si>
    <t>000.000.087-00</t>
  </si>
  <si>
    <t>tormund glover</t>
  </si>
  <si>
    <t>000.000.167-00</t>
  </si>
  <si>
    <t>Gendry Hightower</t>
  </si>
  <si>
    <t>000.000.228-00</t>
  </si>
  <si>
    <t>Robb Stark</t>
  </si>
  <si>
    <t>000.000.234-00</t>
  </si>
  <si>
    <t>Varys Targaryen</t>
  </si>
  <si>
    <t>31 batalhas</t>
  </si>
  <si>
    <t>000.000.342-00</t>
  </si>
  <si>
    <t>Rhaegar Targaryen</t>
  </si>
  <si>
    <t>Lyanna Swyft</t>
  </si>
  <si>
    <t>61500 moedas</t>
  </si>
  <si>
    <t>Shae Frey</t>
  </si>
  <si>
    <t>000.000.047-00</t>
  </si>
  <si>
    <t>loqueado</t>
  </si>
  <si>
    <t>Fosso Cailin | Norte</t>
  </si>
  <si>
    <t>000.000.170-00</t>
  </si>
  <si>
    <t>Meereen | Essos</t>
  </si>
  <si>
    <t>Aegon Baelish</t>
  </si>
  <si>
    <t>000.000.196-00</t>
  </si>
  <si>
    <t>Missandei  Tarly</t>
  </si>
  <si>
    <t>000.000.092-00</t>
  </si>
  <si>
    <t>Daenerys Tallhart</t>
  </si>
  <si>
    <t>000.000.244-00</t>
  </si>
  <si>
    <t>Aegon Bracken</t>
  </si>
  <si>
    <t>000.000.359-00</t>
  </si>
  <si>
    <t>Jon Marbrand</t>
  </si>
  <si>
    <t>000.000.129-00</t>
  </si>
  <si>
    <t>Viserys Florent</t>
  </si>
  <si>
    <t>000.000.217-00</t>
  </si>
  <si>
    <t>000.000.277-00</t>
  </si>
  <si>
    <t>Yara Royce</t>
  </si>
  <si>
    <t>3 batalhas</t>
  </si>
  <si>
    <t>000.000.216-00</t>
  </si>
  <si>
    <t>Stannis Redwyne</t>
  </si>
  <si>
    <t>28800 moedas</t>
  </si>
  <si>
    <t>Jorah Seaworth</t>
  </si>
  <si>
    <t>000.000.088-00</t>
  </si>
  <si>
    <t>000.000.276-00</t>
  </si>
  <si>
    <t>Margaery Dayne</t>
  </si>
  <si>
    <t>000.000.308-00</t>
  </si>
  <si>
    <t>Catelyn Cerwyn</t>
  </si>
  <si>
    <t>000.000.044-00</t>
  </si>
  <si>
    <t>Missandei Karstark</t>
  </si>
  <si>
    <t>000.000.065-00</t>
  </si>
  <si>
    <t>renly dayne</t>
  </si>
  <si>
    <t>000.000.081-00</t>
  </si>
  <si>
    <t>Jon Hightower</t>
  </si>
  <si>
    <t>Braavos | Essos</t>
  </si>
  <si>
    <t>000.000.248-00</t>
  </si>
  <si>
    <t>Olenna Reed</t>
  </si>
  <si>
    <t>76500 moedas</t>
  </si>
  <si>
    <t>000.000.200-00</t>
  </si>
  <si>
    <t>Bronn Mallister</t>
  </si>
  <si>
    <t>24 anos</t>
  </si>
  <si>
    <t>000.000.334-00</t>
  </si>
  <si>
    <t>Jojen Redwyne</t>
  </si>
  <si>
    <t>38 batalhas</t>
  </si>
  <si>
    <t>000.000.218-00</t>
  </si>
  <si>
    <t>bran florent</t>
  </si>
  <si>
    <t>000.000.091-00</t>
  </si>
  <si>
    <t>Jeor Lannister</t>
  </si>
  <si>
    <t>70500 moedas</t>
  </si>
  <si>
    <t>55 anos</t>
  </si>
  <si>
    <t>000.000.139-00</t>
  </si>
  <si>
    <t>Jon  Karstark</t>
  </si>
  <si>
    <t>000.000.293-00</t>
  </si>
  <si>
    <t>Cersei Stark</t>
  </si>
  <si>
    <t>Yara Baelish</t>
  </si>
  <si>
    <t>000.000.051-00</t>
  </si>
  <si>
    <t>Melisandre Blackwood</t>
  </si>
  <si>
    <t>000.000.011-00</t>
  </si>
  <si>
    <t>Thoros  Baelish</t>
  </si>
  <si>
    <t>5500 moedas</t>
  </si>
  <si>
    <t>000.000.054-00</t>
  </si>
  <si>
    <t>Ramsay Dondarrion</t>
  </si>
  <si>
    <t>000.000.311-00</t>
  </si>
  <si>
    <t>Ellaria  Reed</t>
  </si>
  <si>
    <t>000.000.138-00</t>
  </si>
  <si>
    <t>Ellaria Bracken</t>
  </si>
  <si>
    <t>000.000.067-00</t>
  </si>
  <si>
    <t>000.000.323-00</t>
  </si>
  <si>
    <t>Cersei Clegane</t>
  </si>
  <si>
    <t>000.000.372-00</t>
  </si>
  <si>
    <t>Renly Mallister</t>
  </si>
  <si>
    <t>000.000.135-00</t>
  </si>
  <si>
    <t>20000 moedas</t>
  </si>
  <si>
    <t>000.000.136-00</t>
  </si>
  <si>
    <t>Jojen Reed</t>
  </si>
  <si>
    <t>000.000.030-00</t>
  </si>
  <si>
    <t>Shae Seaworth</t>
  </si>
  <si>
    <t>Varys Bolton</t>
  </si>
  <si>
    <t>Lyanna Florent</t>
  </si>
  <si>
    <t>000.000.133-00</t>
  </si>
  <si>
    <t>Arya Marbrand</t>
  </si>
  <si>
    <t>000.000.251-00</t>
  </si>
  <si>
    <t>Daario Tyrell</t>
  </si>
  <si>
    <t>000.000.026-00</t>
  </si>
  <si>
    <t>Stannis  Cerwyn</t>
  </si>
  <si>
    <t>000.000.194-00</t>
  </si>
  <si>
    <t>Ellaria Mallister</t>
  </si>
  <si>
    <t>000.000.270-00</t>
  </si>
  <si>
    <t>Daario Clegane</t>
  </si>
  <si>
    <t>000.000.309-00</t>
  </si>
  <si>
    <t>Eddard Mallister</t>
  </si>
  <si>
    <t>000.000.066-00</t>
  </si>
  <si>
    <t>Rickon Crakehall</t>
  </si>
  <si>
    <t>000.000.195-00</t>
  </si>
  <si>
    <t>Asha Baratheon</t>
  </si>
  <si>
    <t>Dorne | Dorne</t>
  </si>
  <si>
    <t>Daenerys Snow</t>
  </si>
  <si>
    <t>11100 moedas</t>
  </si>
  <si>
    <t>000.000.338-00</t>
  </si>
  <si>
    <t>Aegon Frey</t>
  </si>
  <si>
    <t>000.000.294-00</t>
  </si>
  <si>
    <t>Jorah Dondarrion</t>
  </si>
  <si>
    <t>000.000.288-00</t>
  </si>
  <si>
    <t>Bran Dayne</t>
  </si>
  <si>
    <t>000.000.284-00</t>
  </si>
  <si>
    <t>Tormund Karstark</t>
  </si>
  <si>
    <t>Rickon Redwyne</t>
  </si>
  <si>
    <t>23500 moedas</t>
  </si>
  <si>
    <t>Brienne Royce</t>
  </si>
  <si>
    <t>2000 moedas</t>
  </si>
  <si>
    <t>000.000.215-00</t>
  </si>
  <si>
    <t>3800 moedas</t>
  </si>
  <si>
    <t>000.000.333-00</t>
  </si>
  <si>
    <t>Arya Redwyne</t>
  </si>
  <si>
    <t>Margaery  Hornwood</t>
  </si>
  <si>
    <t>000.000.140-00</t>
  </si>
  <si>
    <t>Brienne Manderly</t>
  </si>
  <si>
    <t>000.000.341-00</t>
  </si>
  <si>
    <t>Daenerys Seaworth</t>
  </si>
  <si>
    <t>000.000.222-00</t>
  </si>
  <si>
    <t>Margaery Manderly</t>
  </si>
  <si>
    <t>29900 moedas</t>
  </si>
  <si>
    <t>000.000.050-00</t>
  </si>
  <si>
    <t>Podrick Targaryen</t>
  </si>
  <si>
    <t>000.000.364-00</t>
  </si>
  <si>
    <t>000.000.131-00</t>
  </si>
  <si>
    <t>23400 moedas</t>
  </si>
  <si>
    <t>000.000.005-00</t>
  </si>
  <si>
    <t>Ramsay Hornwood</t>
  </si>
  <si>
    <t>000.000.205-00</t>
  </si>
  <si>
    <t>Shae Clegane</t>
  </si>
  <si>
    <t>000.000.016-00</t>
  </si>
  <si>
    <t>000.000.057-00</t>
  </si>
  <si>
    <t>Bran Yronwood</t>
  </si>
  <si>
    <t>000.000.249-00</t>
  </si>
  <si>
    <t>Jeor Florent</t>
  </si>
  <si>
    <t>Roose Manderly</t>
  </si>
  <si>
    <t>000.000.247-00</t>
  </si>
  <si>
    <t>Rhaegar Umber</t>
  </si>
  <si>
    <t>000.000.306-00</t>
  </si>
  <si>
    <t>Brienne Reed</t>
  </si>
  <si>
    <t>19500 moedas</t>
  </si>
  <si>
    <t>000.000.226-00</t>
  </si>
  <si>
    <t>Catelyn Yronwood</t>
  </si>
  <si>
    <t>000.000.124-00</t>
  </si>
  <si>
    <t>samwell yronwood</t>
  </si>
  <si>
    <t>Jojen Florent</t>
  </si>
  <si>
    <t>000.000.287-00</t>
  </si>
  <si>
    <t>Loras Clegane</t>
  </si>
  <si>
    <t>000.000.346-00</t>
  </si>
  <si>
    <t>000.000.362-00</t>
  </si>
  <si>
    <t>Loras Greyjoy</t>
  </si>
  <si>
    <t>000.000.119-00</t>
  </si>
  <si>
    <t>rhaegar stark</t>
  </si>
  <si>
    <t>000.000.184-00</t>
  </si>
  <si>
    <t>Robert Karstark</t>
  </si>
  <si>
    <t>000.000.231-00</t>
  </si>
  <si>
    <t>Melisandre Clegane</t>
  </si>
  <si>
    <t>000.000.125-00</t>
  </si>
  <si>
    <t>Ellaria Seaworth</t>
  </si>
  <si>
    <t>000.000.090-00</t>
  </si>
  <si>
    <t>Podrick Swyft</t>
  </si>
  <si>
    <t>Eddard Crakehall</t>
  </si>
  <si>
    <t>000.000.162-00</t>
  </si>
  <si>
    <t>Jeor Mallister</t>
  </si>
  <si>
    <t>Missandei Tarly</t>
  </si>
  <si>
    <t>17600 moedas</t>
  </si>
  <si>
    <t>000.000.365-00</t>
  </si>
  <si>
    <t>Robb Baratheon</t>
  </si>
  <si>
    <t>catelyn westerling</t>
  </si>
  <si>
    <t>000.000.039-00</t>
  </si>
  <si>
    <t>Tormund  Cerwyn</t>
  </si>
  <si>
    <t>000.000.024-00</t>
  </si>
  <si>
    <t>Viserys Seaworth</t>
  </si>
  <si>
    <t>000.000.274-00</t>
  </si>
  <si>
    <t>Margaery Tarly</t>
  </si>
  <si>
    <t>31000 moedas</t>
  </si>
  <si>
    <t>18200 moedas</t>
  </si>
  <si>
    <t>000.000.059-00</t>
  </si>
  <si>
    <t>yara targaryen</t>
  </si>
  <si>
    <t>8600 moedas</t>
  </si>
  <si>
    <t>000.000.076-00</t>
  </si>
  <si>
    <t>3500 moedas</t>
  </si>
  <si>
    <t>000.000.191-00</t>
  </si>
  <si>
    <t>Olenna Baelish</t>
  </si>
  <si>
    <t>000.000.321-00</t>
  </si>
  <si>
    <t>10400 moedas</t>
  </si>
  <si>
    <t>000.000.210-00</t>
  </si>
  <si>
    <t>21500 moedas</t>
  </si>
  <si>
    <t>000.000.363-00</t>
  </si>
  <si>
    <t>Asha Hornwood</t>
  </si>
  <si>
    <t>11000 moedas</t>
  </si>
  <si>
    <t>Stannis Lannister</t>
  </si>
  <si>
    <t>000.000.336-00</t>
  </si>
  <si>
    <t>Ellaria Baelish</t>
  </si>
  <si>
    <t>Pergunta de análise</t>
  </si>
  <si>
    <t>Tipo de dado</t>
  </si>
  <si>
    <t>Indicador ou cálculo</t>
  </si>
  <si>
    <t>Gráfico</t>
  </si>
  <si>
    <t>Insight</t>
  </si>
  <si>
    <t>Ellaria Yronwood</t>
  </si>
  <si>
    <t>000.000.176-00</t>
  </si>
  <si>
    <t>Olenna Lannister</t>
  </si>
  <si>
    <t>000.000.212-00</t>
  </si>
  <si>
    <t>000.000.042-00</t>
  </si>
  <si>
    <t>Braaavos</t>
  </si>
  <si>
    <t>Sansa Clegane</t>
  </si>
  <si>
    <t>000.000.174-00</t>
  </si>
  <si>
    <t>67 anos</t>
  </si>
  <si>
    <t>Daario Yronwood</t>
  </si>
  <si>
    <t>Ramsay Karstark</t>
  </si>
  <si>
    <t>000.000.185-00</t>
  </si>
  <si>
    <t>000.000.048-00</t>
  </si>
  <si>
    <t>Meera Lannister</t>
  </si>
  <si>
    <t>000.000.121-00</t>
  </si>
  <si>
    <t>22200 moedas</t>
  </si>
  <si>
    <t>000.000.268-00</t>
  </si>
  <si>
    <t>Correrio</t>
  </si>
  <si>
    <t>podrick umber</t>
  </si>
  <si>
    <t>Rickon Hornwood</t>
  </si>
  <si>
    <t>000.000.078-00</t>
  </si>
  <si>
    <t>Arya Bolton</t>
  </si>
  <si>
    <t>Ramsay Blackwood</t>
  </si>
  <si>
    <t>000.000.035-00</t>
  </si>
  <si>
    <t>Davos Royce</t>
  </si>
  <si>
    <t>Daario Tarth</t>
  </si>
  <si>
    <t>Braaavos | Essos</t>
  </si>
  <si>
    <t>Robert Payne</t>
  </si>
  <si>
    <t>000.000.068-00</t>
  </si>
  <si>
    <t>Roose Baelish</t>
  </si>
  <si>
    <t>000.000.366-00</t>
  </si>
  <si>
    <t>Missandei Arryn</t>
  </si>
  <si>
    <t>000.000.368-00</t>
  </si>
  <si>
    <t>000.000.371-00</t>
  </si>
  <si>
    <t>44 batalhas</t>
  </si>
  <si>
    <t>Podrick Stark</t>
  </si>
  <si>
    <t>000.000.029-00</t>
  </si>
  <si>
    <t>000.000.262-00</t>
  </si>
  <si>
    <t>49000 moedas</t>
  </si>
  <si>
    <t>Jorah Stark</t>
  </si>
  <si>
    <t>000.000.021-00</t>
  </si>
  <si>
    <t>Roose Frey</t>
  </si>
  <si>
    <t>000.000.292-00</t>
  </si>
  <si>
    <t>Tyrion Westerling</t>
  </si>
  <si>
    <t>Shae Blackwood</t>
  </si>
  <si>
    <t>Aegon Clegane</t>
  </si>
  <si>
    <t>000.000.330-00</t>
  </si>
  <si>
    <t>16600 moedas</t>
  </si>
  <si>
    <t>Margaery Redwyne</t>
  </si>
  <si>
    <t>Categórico</t>
  </si>
  <si>
    <t xml:space="preserve">Linhas </t>
  </si>
  <si>
    <t>STATUS</t>
  </si>
  <si>
    <t>Corrigido</t>
  </si>
  <si>
    <t>Padronização de vazias como N/A;Padronização de formato em caixa alta</t>
  </si>
  <si>
    <t>Evitar quebra de dados ou infromações e erro em fórmulas por padrões de formatação</t>
  </si>
  <si>
    <t>Padronização de formato em caixa alta;validação de linha duplicada ou só nome</t>
  </si>
  <si>
    <t>Evitar quebra de dados ou infromações e erro em fórmulas por padrões de formatação e garantir que os dados 100% duplicados fossem excluídos mas análises de risco diferentes, mesmo que de um mesmo nome e cpf, fossem mantidas</t>
  </si>
  <si>
    <t>Célula com preenchimento "Loqueado"</t>
  </si>
  <si>
    <t>Registro de informação para consultar posteriormente</t>
  </si>
  <si>
    <t>Registrado</t>
  </si>
  <si>
    <t>Como não tenho informações sobre motivo do preenchimento, mantive mas desconsiderei a possibilidade de liberação de crédito por inconsistência de dados</t>
  </si>
  <si>
    <t>LOQUEADO</t>
  </si>
  <si>
    <t>Localizar e substituir palavra "idade" por "";preencher com base na data de nascimento a idade através da formula " =DATADIF(E267;HOJE();"Y") "</t>
  </si>
  <si>
    <t>Padronizar os valores e ter a ideia de idade de todos os possíveis creditados e não haver divergência de campos de números ou textos</t>
  </si>
  <si>
    <t>Localizar e substituir palavras "não, nao, Nao, NÃO, NAO " para "Não" e deixar todas em caixa alta;N/I para dados não informados</t>
  </si>
  <si>
    <t>Padronizar os valores e ter dados completos dos clientes para análise e também informações sobre dados faltando para não presumir, mas sim, buscar a informação correta com superiores</t>
  </si>
  <si>
    <t>Manter um padrão que se pode calcular para possíveis fórmulas e análises</t>
  </si>
  <si>
    <t>Localizar e substituir palavra "moedas" para "" assim excluindo;selecionar a coluna e transformar os dados em moeda com símbolo de $;células vazias coloquei como zerado para cálculos futuros;sem renda = 0</t>
  </si>
  <si>
    <t>Localizar e substituir palavra "moedas" para "" assim excluindo;selecionar a coluna e transformar os dados em moeda com símbolo de $;células vazias coloquei como zerado para cálculos futuros;N/A considerado como 0 para cálculos futuros</t>
  </si>
  <si>
    <t>Células vazias ; Divergência de formato (maiúscula e minúscula);regiões duplicadas com mais caracteres ou menos "Essos" e "Essoos"</t>
  </si>
  <si>
    <t>Células vazias corrigi a maioria com texto para colunas na coluna de Cidade que possuía a região ao lado separado por "|", outras fiz correlação com as outras cidades e regiões para preencher a mais possível; corrigi tudo para maiúscula deixando no padrão da planilha; Corrigi na mão por ter identificado que eram poucas ocorrências mas poderia ter utilizado localizar e substituir após filtro</t>
  </si>
  <si>
    <t>Padronizar a planilha e evitar perda de dados que podem ser cruzados e evitar dados duplicados com caracteres diferentes</t>
  </si>
  <si>
    <t>Texto para colunas usando delimitação de "|" para passar as células de regiões que estavam juntas;padronização de formato para caixa alta</t>
  </si>
  <si>
    <t>Padronização de informações para não haver nenhum erro de formato e também utilizar as informações que já possuímos de regiões que estavam separadas da coluna correta</t>
  </si>
  <si>
    <t>Localizar e substituir com "Batalhas" por "" para excluir;células vazias consideradas como 0</t>
  </si>
  <si>
    <t>Evitar quebra de fórmula em caso de números e textos juntos ou perda da informação de batalhas</t>
  </si>
  <si>
    <t>Localizar e substituir palavra "moedas" para "" assim excluindo;selecionar a coluna e transformar os dados em moeda com símbolo de $</t>
  </si>
  <si>
    <t>Poder padronizar a informação e utilizar em cálculos de fórmulas</t>
  </si>
  <si>
    <t>Calcular o nível de risco com base na quantidade de batalhas = Acima de 25 - Alto, entre 11 e 25 - Médio e abaixo de 11 - Baixo</t>
  </si>
  <si>
    <t>Calcular se foi aprovada ou não a primeira análise de liberação de crédito</t>
  </si>
  <si>
    <t>Calcular se foi aprovada ou não a segunda análise de liberação de crédito</t>
  </si>
  <si>
    <t>Caso tenha sido confirmada a aprovação, calcular o valor de juros em cima do valor de crédito solicitado</t>
  </si>
  <si>
    <t>Criado</t>
  </si>
  <si>
    <t>Caso o risco seja alto e o solicitante inadimplente, ele recusa, caso não ele aprova</t>
  </si>
  <si>
    <t>"=SE(E(I2&gt;50000;L2="Sim");"Negado";"Aprovado")"</t>
  </si>
  <si>
    <t>Caso o solicitante tenha um crédito tomado &gt;50000 e inadimplente = S, nega a análise automaticamente, em outros casos, aprova</t>
  </si>
  <si>
    <t>Caso as duas análises anteriores retornem como Negado, retorna 0 na resposta, caso alguma seja aprovada, multiplica o crédito tomado por 8% para saber o juro total em cima do crédito</t>
  </si>
  <si>
    <t>Formatação condicional para preenchimento de cores</t>
  </si>
  <si>
    <t>Pintar de verde as informações positivas e de vermelho as informações negativas.</t>
  </si>
  <si>
    <t>Contagem de pessoas inadimplentes por idade</t>
  </si>
  <si>
    <t>O maior índice de inadimplentes aparece entre 25 a 27 anos, dessa forma afetando o restante da vida dessas pessoas. Realizar ações para reduzir os índices de idades menores, pode refletir em uma melhora posterior dos índices de inadimplência em Westeros.</t>
  </si>
  <si>
    <t>Onde devemos começar para reduzir os índices de inadimplência em Westeros?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</si>
</sst>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164" formatCode="&quot;R$&quot;\ #,##0.00"/>
    <numFmt numFmtId="165" formatCode="0.0"/>
    <numFmt numFmtId="166" formatCode="000,000,000\-&quot;00&quot;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0000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0">
    <xf numFmtId="0" fontId="0" fillId="0" borderId="0" xfId="0"/>
    <xf numFmtId="0" fontId="0" fillId="0" borderId="0" xfId="0" applyAlignment="1">
      <alignment horizontal="center"/>
    </xf>
    <xf numFmtId="0" fontId="19" fillId="34" borderId="0" xfId="0" applyFont="1" applyFill="1"/>
    <xf numFmtId="0" fontId="20" fillId="35" borderId="0" xfId="0" applyFont="1" applyFill="1"/>
    <xf numFmtId="8" fontId="20" fillId="35" borderId="0" xfId="0" applyNumberFormat="1" applyFont="1" applyFill="1"/>
    <xf numFmtId="0" fontId="20" fillId="0" borderId="0" xfId="0" applyFont="1"/>
    <xf numFmtId="8" fontId="20" fillId="0" borderId="0" xfId="0" applyNumberFormat="1" applyFont="1"/>
    <xf numFmtId="0" fontId="19" fillId="37" borderId="0" xfId="0" applyFont="1" applyFill="1"/>
    <xf numFmtId="0" fontId="19" fillId="38" borderId="0" xfId="0" applyFont="1" applyFill="1"/>
    <xf numFmtId="0" fontId="20" fillId="39" borderId="0" xfId="0" applyFont="1" applyFill="1"/>
    <xf numFmtId="1" fontId="21" fillId="39" borderId="0" xfId="0" applyNumberFormat="1" applyFont="1" applyFill="1" applyAlignment="1">
      <alignment horizontal="center"/>
    </xf>
    <xf numFmtId="0" fontId="21" fillId="39" borderId="0" xfId="0" applyFont="1" applyFill="1"/>
    <xf numFmtId="165" fontId="21" fillId="39" borderId="0" xfId="0" applyNumberFormat="1" applyFont="1" applyFill="1" applyAlignment="1">
      <alignment horizontal="center"/>
    </xf>
    <xf numFmtId="0" fontId="20" fillId="0" borderId="0" xfId="0" applyFont="1" applyAlignment="1">
      <alignment horizontal="center"/>
    </xf>
    <xf numFmtId="0" fontId="20" fillId="35" borderId="0" xfId="0" applyFont="1" applyFill="1" applyAlignment="1">
      <alignment horizontal="center"/>
    </xf>
    <xf numFmtId="0" fontId="7" fillId="35" borderId="0" xfId="0" applyFont="1" applyFill="1"/>
    <xf numFmtId="0" fontId="0" fillId="0" borderId="10" xfId="0" applyBorder="1"/>
    <xf numFmtId="14" fontId="0" fillId="0" borderId="10" xfId="0" applyNumberFormat="1" applyBorder="1" applyAlignment="1">
      <alignment horizontal="center"/>
    </xf>
    <xf numFmtId="8" fontId="0" fillId="0" borderId="10" xfId="0" applyNumberFormat="1" applyBorder="1"/>
    <xf numFmtId="164" fontId="0" fillId="0" borderId="10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14" fontId="0" fillId="0" borderId="19" xfId="0" applyNumberFormat="1" applyBorder="1" applyAlignment="1">
      <alignment horizontal="center"/>
    </xf>
    <xf numFmtId="8" fontId="0" fillId="0" borderId="19" xfId="0" applyNumberFormat="1" applyBorder="1"/>
    <xf numFmtId="164" fontId="0" fillId="0" borderId="19" xfId="0" applyNumberFormat="1" applyBorder="1"/>
    <xf numFmtId="0" fontId="0" fillId="0" borderId="0" xfId="0" applyAlignment="1">
      <alignment horizontal="left"/>
    </xf>
    <xf numFmtId="0" fontId="0" fillId="0" borderId="0" xfId="0" pivotButton="1"/>
    <xf numFmtId="164" fontId="0" fillId="0" borderId="22" xfId="0" applyNumberFormat="1" applyBorder="1"/>
    <xf numFmtId="164" fontId="0" fillId="0" borderId="21" xfId="0" applyNumberFormat="1" applyBorder="1"/>
    <xf numFmtId="0" fontId="0" fillId="0" borderId="19" xfId="0" applyBorder="1" applyAlignment="1">
      <alignment horizontal="center"/>
    </xf>
    <xf numFmtId="14" fontId="0" fillId="0" borderId="19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14" fontId="0" fillId="0" borderId="24" xfId="0" applyNumberFormat="1" applyBorder="1" applyAlignment="1">
      <alignment horizontal="center"/>
    </xf>
    <xf numFmtId="8" fontId="0" fillId="0" borderId="24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0" fontId="13" fillId="41" borderId="10" xfId="0" applyFont="1" applyFill="1" applyBorder="1"/>
    <xf numFmtId="14" fontId="13" fillId="41" borderId="10" xfId="0" applyNumberFormat="1" applyFont="1" applyFill="1" applyBorder="1"/>
    <xf numFmtId="0" fontId="17" fillId="40" borderId="10" xfId="0" applyFont="1" applyFill="1" applyBorder="1"/>
    <xf numFmtId="0" fontId="0" fillId="0" borderId="26" xfId="0" applyBorder="1"/>
    <xf numFmtId="166" fontId="0" fillId="0" borderId="19" xfId="0" applyNumberFormat="1" applyBorder="1"/>
    <xf numFmtId="166" fontId="0" fillId="0" borderId="10" xfId="0" applyNumberFormat="1" applyBorder="1"/>
    <xf numFmtId="166" fontId="0" fillId="0" borderId="24" xfId="0" applyNumberFormat="1" applyBorder="1"/>
    <xf numFmtId="3" fontId="0" fillId="0" borderId="0" xfId="0" applyNumberFormat="1"/>
    <xf numFmtId="14" fontId="0" fillId="0" borderId="0" xfId="0" applyNumberFormat="1"/>
    <xf numFmtId="8" fontId="0" fillId="0" borderId="0" xfId="0" applyNumberFormat="1"/>
    <xf numFmtId="0" fontId="0" fillId="0" borderId="26" xfId="0" applyBorder="1" applyAlignment="1">
      <alignment wrapText="1"/>
    </xf>
    <xf numFmtId="0" fontId="13" fillId="42" borderId="26" xfId="0" applyFont="1" applyFill="1" applyBorder="1"/>
    <xf numFmtId="0" fontId="0" fillId="0" borderId="26" xfId="0" applyBorder="1" applyAlignment="1">
      <alignment horizontal="left" vertical="top"/>
    </xf>
    <xf numFmtId="0" fontId="18" fillId="33" borderId="0" xfId="0" applyFont="1" applyFill="1" applyAlignment="1">
      <alignment horizontal="center"/>
    </xf>
    <xf numFmtId="0" fontId="18" fillId="36" borderId="0" xfId="0" applyFont="1" applyFill="1" applyAlignment="1">
      <alignment horizontal="center"/>
    </xf>
    <xf numFmtId="0" fontId="18" fillId="34" borderId="0" xfId="0" applyFont="1" applyFill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5" xfId="0" applyFont="1" applyBorder="1" applyAlignment="1">
      <alignment horizontal="left"/>
    </xf>
    <xf numFmtId="0" fontId="20" fillId="0" borderId="17" xfId="0" applyFont="1" applyBorder="1" applyAlignment="1">
      <alignment horizontal="left"/>
    </xf>
    <xf numFmtId="0" fontId="20" fillId="0" borderId="0" xfId="0" applyFont="1" applyAlignment="1">
      <alignment horizontal="center"/>
    </xf>
    <xf numFmtId="0" fontId="18" fillId="33" borderId="11" xfId="0" applyFont="1" applyFill="1" applyBorder="1" applyAlignment="1">
      <alignment horizontal="center"/>
    </xf>
    <xf numFmtId="0" fontId="18" fillId="33" borderId="12" xfId="0" applyFont="1" applyFill="1" applyBorder="1" applyAlignment="1">
      <alignment horizontal="center"/>
    </xf>
    <xf numFmtId="0" fontId="20" fillId="0" borderId="13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16" xfId="0" applyFont="1" applyBorder="1" applyAlignment="1">
      <alignment horizontal="left"/>
    </xf>
    <xf numFmtId="0" fontId="17" fillId="40" borderId="27" xfId="0" applyFont="1" applyFill="1" applyBorder="1"/>
    <xf numFmtId="0" fontId="0" fillId="0" borderId="0" xfId="0" applyNumberFormat="1"/>
    <xf numFmtId="0" fontId="0" fillId="0" borderId="26" xfId="0" applyBorder="1" applyAlignment="1">
      <alignment horizontal="left" vertical="top" wrapText="1"/>
    </xf>
    <xf numFmtId="0" fontId="0" fillId="0" borderId="28" xfId="0" applyBorder="1" applyAlignment="1">
      <alignment horizontal="center" vertical="top" wrapText="1"/>
    </xf>
    <xf numFmtId="0" fontId="0" fillId="0" borderId="29" xfId="0" applyBorder="1" applyAlignment="1">
      <alignment horizontal="center" vertical="top" wrapText="1"/>
    </xf>
    <xf numFmtId="0" fontId="0" fillId="0" borderId="30" xfId="0" applyBorder="1" applyAlignment="1">
      <alignment horizontal="center" vertical="top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53">
    <dxf>
      <font>
        <b/>
        <i val="0"/>
        <color theme="9" tint="-0.24994659260841701"/>
      </font>
      <fill>
        <patternFill>
          <fgColor auto="1"/>
          <bgColor theme="9" tint="0.79998168889431442"/>
        </patternFill>
      </fill>
    </dxf>
    <dxf>
      <font>
        <b/>
        <i val="0"/>
        <color rgb="FFFF0000"/>
      </font>
      <fill>
        <patternFill>
          <bgColor rgb="FFFFA7A7"/>
        </patternFill>
      </fill>
    </dxf>
    <dxf>
      <font>
        <color theme="9" tint="-0.24994659260841701"/>
      </font>
    </dxf>
    <dxf>
      <font>
        <color rgb="FFFF0000"/>
      </font>
    </dxf>
    <dxf>
      <font>
        <color rgb="FFFF0000"/>
      </font>
      <fill>
        <patternFill>
          <fgColor auto="1"/>
        </patternFill>
      </fill>
    </dxf>
    <dxf>
      <font>
        <color theme="9"/>
      </font>
    </dxf>
    <dxf>
      <numFmt numFmtId="165" formatCode="0.0"/>
      <fill>
        <patternFill patternType="none">
          <fgColor indexed="64"/>
          <bgColor auto="1"/>
        </patternFill>
      </fill>
      <border>
        <left/>
        <right/>
        <top/>
        <bottom/>
      </border>
    </dxf>
    <dxf>
      <font>
        <color rgb="FFFF0000"/>
      </font>
      <fill>
        <patternFill>
          <fgColor rgb="FFFF0000"/>
        </patternFill>
      </fill>
    </dxf>
    <dxf>
      <font>
        <color theme="9"/>
      </font>
      <numFmt numFmtId="0" formatCode="General"/>
      <fill>
        <patternFill>
          <fgColor theme="9"/>
        </patternFill>
      </fill>
    </dxf>
    <dxf>
      <font>
        <color theme="9"/>
      </font>
      <numFmt numFmtId="165" formatCode="0.0"/>
      <fill>
        <patternFill patternType="none">
          <fgColor indexed="64"/>
          <bgColor auto="1"/>
        </patternFill>
      </fill>
    </dxf>
    <dxf>
      <font>
        <color rgb="FFFF0000"/>
      </font>
      <numFmt numFmtId="165" formatCode="0.0"/>
      <fill>
        <patternFill patternType="none">
          <fgColor auto="1"/>
          <bgColor auto="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&quot;R$&quot;\ #,##0.0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&quot;R$&quot;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&quot;R$&quot;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2" formatCode="&quot;R$&quot;\ #,##0.00;[Red]\-&quot;R$&quot;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00,000,000\-&quot;00&quot;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4472C4"/>
          <bgColor rgb="FF4472C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0.0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000000"/>
          <bgColor rgb="FFED7D3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4472C4"/>
          <bgColor rgb="FF4472C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000000"/>
          <bgColor rgb="FF305496"/>
        </patternFill>
      </fill>
    </dxf>
  </dxfs>
  <tableStyles count="0" defaultTableStyle="TableStyleMedium2" defaultPivotStyle="PivotStyleLight16"/>
  <colors>
    <mruColors>
      <color rgb="FFFF0000"/>
      <color rgb="FF00F0FF"/>
      <color rgb="FFFF5CAB"/>
      <color rgb="FFFF3399"/>
      <color rgb="FFFF0D0D"/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[Game of throne.xlsx]Game_of_throne_Dados_Limpos!Tabela dinâmica2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Inadimplência por idade em Westeros</a:t>
            </a:r>
          </a:p>
        </c:rich>
      </c:tx>
      <c:overlay val="0"/>
      <c:spPr>
        <a:noFill/>
        <a:ln w="2540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 cmpd="sng">
            <a:solidFill>
              <a:schemeClr val="tx1">
                <a:lumMod val="95000"/>
                <a:lumOff val="5000"/>
              </a:schemeClr>
            </a:solidFill>
            <a:round/>
            <a:headEnd type="none"/>
            <a:tailEnd type="none"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solidFill>
              <a:srgbClr val="00F0FF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 cmpd="sng">
            <a:solidFill>
              <a:schemeClr val="tx1">
                <a:lumMod val="95000"/>
                <a:lumOff val="5000"/>
              </a:schemeClr>
            </a:solidFill>
            <a:round/>
            <a:headEnd type="none"/>
            <a:tailEnd type="none"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solidFill>
              <a:srgbClr val="00F0FF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34925" cap="rnd" cmpd="sng">
            <a:solidFill>
              <a:schemeClr val="tx1">
                <a:lumMod val="95000"/>
                <a:lumOff val="5000"/>
              </a:schemeClr>
            </a:solidFill>
            <a:round/>
            <a:headEnd type="none"/>
            <a:tailEnd type="none"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solidFill>
              <a:srgbClr val="00F0FF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34925" cap="rnd" cmpd="sng">
            <a:solidFill>
              <a:srgbClr val="FF0000"/>
            </a:solidFill>
            <a:round/>
            <a:headEnd type="none"/>
            <a:tailEnd type="none"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solidFill>
              <a:srgbClr val="00F0FF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5"/>
        <c:spPr>
          <a:ln w="34925" cap="rnd" cmpd="sng">
            <a:solidFill>
              <a:srgbClr val="FF0000"/>
            </a:solidFill>
            <a:round/>
            <a:headEnd type="none"/>
            <a:tailEnd type="none"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solidFill>
              <a:srgbClr val="00F0FF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6"/>
        <c:spPr>
          <a:ln w="34925" cap="rnd" cmpd="sng">
            <a:solidFill>
              <a:srgbClr val="FF0000"/>
            </a:solidFill>
            <a:round/>
            <a:headEnd type="none"/>
            <a:tailEnd type="none"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square"/>
          <c:size val="5"/>
          <c:spPr>
            <a:solidFill>
              <a:srgbClr val="00F0FF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7.2820035169560066E-2"/>
          <c:y val="0.15827779593342481"/>
          <c:w val="0.83105644349128316"/>
          <c:h val="0.67081327870537821"/>
        </c:manualLayout>
      </c:layout>
      <c:lineChart>
        <c:grouping val="standard"/>
        <c:varyColors val="0"/>
        <c:ser>
          <c:idx val="0"/>
          <c:order val="0"/>
          <c:tx>
            <c:strRef>
              <c:f>Game_of_throne_Dados_Limpos!$AH$2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 cmpd="sng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none"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5"/>
            <c:spPr>
              <a:solidFill>
                <a:srgbClr val="00F0FF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7"/>
            <c:marker>
              <c:symbol val="square"/>
              <c:size val="5"/>
              <c:spPr>
                <a:solidFill>
                  <a:srgbClr val="00F0FF"/>
                </a:solidFill>
                <a:ln w="9525">
                  <a:solidFill>
                    <a:srgbClr val="FF0000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 cmpd="sng">
                <a:solidFill>
                  <a:srgbClr val="FF0000"/>
                </a:solidFill>
                <a:round/>
                <a:headEnd type="none"/>
                <a:tailEnd type="none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433-406F-9076-642F83DF364A}"/>
              </c:ext>
            </c:extLst>
          </c:dPt>
          <c:dPt>
            <c:idx val="8"/>
            <c:marker>
              <c:symbol val="square"/>
              <c:size val="5"/>
              <c:spPr>
                <a:solidFill>
                  <a:srgbClr val="00F0FF"/>
                </a:solidFill>
                <a:ln w="9525">
                  <a:solidFill>
                    <a:srgbClr val="FF0000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 cmpd="sng">
                <a:solidFill>
                  <a:srgbClr val="FF0000"/>
                </a:solidFill>
                <a:round/>
                <a:headEnd type="none"/>
                <a:tailEnd type="none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433-406F-9076-642F83DF364A}"/>
              </c:ext>
            </c:extLst>
          </c:dPt>
          <c:dPt>
            <c:idx val="9"/>
            <c:marker>
              <c:symbol val="square"/>
              <c:size val="5"/>
              <c:spPr>
                <a:solidFill>
                  <a:srgbClr val="00F0FF"/>
                </a:solidFill>
                <a:ln w="9525">
                  <a:solidFill>
                    <a:srgbClr val="FF0000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 cmpd="sng">
                <a:solidFill>
                  <a:srgbClr val="FF0000"/>
                </a:solidFill>
                <a:round/>
                <a:headEnd type="none"/>
                <a:tailEnd type="none"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D433-406F-9076-642F83DF364A}"/>
              </c:ext>
            </c:extLst>
          </c:dPt>
          <c:cat>
            <c:strRef>
              <c:f>Game_of_throne_Dados_Limpos!$AG$3:$AG$60</c:f>
              <c:strCache>
                <c:ptCount val="57"/>
                <c:pt idx="0">
                  <c:v>18</c:v>
                </c:pt>
                <c:pt idx="1">
                  <c:v>19</c:v>
                </c:pt>
                <c:pt idx="2">
                  <c:v>20</c:v>
                </c:pt>
                <c:pt idx="3">
                  <c:v>21</c:v>
                </c:pt>
                <c:pt idx="4">
                  <c:v>22</c:v>
                </c:pt>
                <c:pt idx="5">
                  <c:v>23</c:v>
                </c:pt>
                <c:pt idx="6">
                  <c:v>24</c:v>
                </c:pt>
                <c:pt idx="7">
                  <c:v>25</c:v>
                </c:pt>
                <c:pt idx="8">
                  <c:v>26</c:v>
                </c:pt>
                <c:pt idx="9">
                  <c:v>27</c:v>
                </c:pt>
                <c:pt idx="10">
                  <c:v>28</c:v>
                </c:pt>
                <c:pt idx="11">
                  <c:v>29</c:v>
                </c:pt>
                <c:pt idx="12">
                  <c:v>30</c:v>
                </c:pt>
                <c:pt idx="13">
                  <c:v>31</c:v>
                </c:pt>
                <c:pt idx="14">
                  <c:v>32</c:v>
                </c:pt>
                <c:pt idx="15">
                  <c:v>33</c:v>
                </c:pt>
                <c:pt idx="16">
                  <c:v>34</c:v>
                </c:pt>
                <c:pt idx="17">
                  <c:v>35</c:v>
                </c:pt>
                <c:pt idx="18">
                  <c:v>36</c:v>
                </c:pt>
                <c:pt idx="19">
                  <c:v>37</c:v>
                </c:pt>
                <c:pt idx="20">
                  <c:v>38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</c:strCache>
            </c:strRef>
          </c:cat>
          <c:val>
            <c:numRef>
              <c:f>Game_of_throne_Dados_Limpos!$AH$3:$AH$60</c:f>
              <c:numCache>
                <c:formatCode>General</c:formatCode>
                <c:ptCount val="57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2</c:v>
                </c:pt>
                <c:pt idx="4">
                  <c:v>6</c:v>
                </c:pt>
                <c:pt idx="5">
                  <c:v>4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9</c:v>
                </c:pt>
                <c:pt idx="10">
                  <c:v>5</c:v>
                </c:pt>
                <c:pt idx="11">
                  <c:v>9</c:v>
                </c:pt>
                <c:pt idx="12">
                  <c:v>5</c:v>
                </c:pt>
                <c:pt idx="13">
                  <c:v>8</c:v>
                </c:pt>
                <c:pt idx="14">
                  <c:v>6</c:v>
                </c:pt>
                <c:pt idx="15">
                  <c:v>13</c:v>
                </c:pt>
                <c:pt idx="16">
                  <c:v>4</c:v>
                </c:pt>
                <c:pt idx="17">
                  <c:v>12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8</c:v>
                </c:pt>
                <c:pt idx="22">
                  <c:v>5</c:v>
                </c:pt>
                <c:pt idx="23">
                  <c:v>4</c:v>
                </c:pt>
                <c:pt idx="24">
                  <c:v>7</c:v>
                </c:pt>
                <c:pt idx="25">
                  <c:v>4</c:v>
                </c:pt>
                <c:pt idx="26">
                  <c:v>8</c:v>
                </c:pt>
                <c:pt idx="27">
                  <c:v>4</c:v>
                </c:pt>
                <c:pt idx="28">
                  <c:v>6</c:v>
                </c:pt>
                <c:pt idx="29">
                  <c:v>7</c:v>
                </c:pt>
                <c:pt idx="30">
                  <c:v>10</c:v>
                </c:pt>
                <c:pt idx="31">
                  <c:v>6</c:v>
                </c:pt>
                <c:pt idx="32">
                  <c:v>4</c:v>
                </c:pt>
                <c:pt idx="33">
                  <c:v>7</c:v>
                </c:pt>
                <c:pt idx="34">
                  <c:v>4</c:v>
                </c:pt>
                <c:pt idx="35">
                  <c:v>11</c:v>
                </c:pt>
                <c:pt idx="36">
                  <c:v>5</c:v>
                </c:pt>
                <c:pt idx="37">
                  <c:v>12</c:v>
                </c:pt>
                <c:pt idx="38">
                  <c:v>8</c:v>
                </c:pt>
                <c:pt idx="39">
                  <c:v>9</c:v>
                </c:pt>
                <c:pt idx="40">
                  <c:v>9</c:v>
                </c:pt>
                <c:pt idx="41">
                  <c:v>5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10</c:v>
                </c:pt>
                <c:pt idx="46">
                  <c:v>5</c:v>
                </c:pt>
                <c:pt idx="47">
                  <c:v>10</c:v>
                </c:pt>
                <c:pt idx="48">
                  <c:v>6</c:v>
                </c:pt>
                <c:pt idx="49">
                  <c:v>9</c:v>
                </c:pt>
                <c:pt idx="50">
                  <c:v>9</c:v>
                </c:pt>
                <c:pt idx="51">
                  <c:v>7</c:v>
                </c:pt>
                <c:pt idx="52">
                  <c:v>5</c:v>
                </c:pt>
                <c:pt idx="53">
                  <c:v>4</c:v>
                </c:pt>
                <c:pt idx="54">
                  <c:v>6</c:v>
                </c:pt>
                <c:pt idx="55">
                  <c:v>8</c:v>
                </c:pt>
                <c:pt idx="5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33-406F-9076-642F83DF3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5083080"/>
        <c:axId val="628235312"/>
      </c:lineChart>
      <c:catAx>
        <c:axId val="745083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chemeClr val="tx1"/>
                    </a:solidFill>
                  </a:rPr>
                  <a:t>Idade</a:t>
                </a:r>
                <a:r>
                  <a:rPr lang="pt-BR" b="1" baseline="0">
                    <a:solidFill>
                      <a:schemeClr val="tx1"/>
                    </a:solidFill>
                  </a:rPr>
                  <a:t> dos Analisados</a:t>
                </a:r>
              </a:p>
            </c:rich>
          </c:tx>
          <c:overlay val="0"/>
          <c:spPr>
            <a:noFill/>
            <a:ln w="25400">
              <a:solidFill>
                <a:schemeClr val="tx1"/>
              </a:solidFill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8235312"/>
        <c:crosses val="autoZero"/>
        <c:auto val="1"/>
        <c:lblAlgn val="ctr"/>
        <c:lblOffset val="100"/>
        <c:noMultiLvlLbl val="0"/>
      </c:catAx>
      <c:valAx>
        <c:axId val="62823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chemeClr val="tx1"/>
                    </a:solidFill>
                  </a:rPr>
                  <a:t>Total</a:t>
                </a:r>
                <a:r>
                  <a:rPr lang="pt-BR" b="1" baseline="0">
                    <a:solidFill>
                      <a:schemeClr val="tx1"/>
                    </a:solidFill>
                  </a:rPr>
                  <a:t> de inadimplêntes</a:t>
                </a:r>
                <a:endParaRPr lang="pt-BR" b="1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 w="25400">
              <a:solidFill>
                <a:schemeClr val="tx1"/>
              </a:solidFill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5083080"/>
        <c:crosses val="autoZero"/>
        <c:crossBetween val="between"/>
      </c:valAx>
      <c:spPr>
        <a:solidFill>
          <a:schemeClr val="bg2"/>
        </a:solidFill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legendEntry>
        <c:idx val="26"/>
        <c:delete val="1"/>
      </c:legendEntry>
      <c:legendEntry>
        <c:idx val="27"/>
        <c:delete val="1"/>
      </c:legendEntry>
      <c:legendEntry>
        <c:idx val="28"/>
        <c:delete val="1"/>
      </c:legendEntry>
      <c:legendEntry>
        <c:idx val="29"/>
        <c:delete val="1"/>
      </c:legendEntry>
      <c:legendEntry>
        <c:idx val="30"/>
        <c:delete val="1"/>
      </c:legendEntry>
      <c:legendEntry>
        <c:idx val="31"/>
        <c:delete val="1"/>
      </c:legendEntry>
      <c:legendEntry>
        <c:idx val="32"/>
        <c:delete val="1"/>
      </c:legendEntry>
      <c:legendEntry>
        <c:idx val="33"/>
        <c:delete val="1"/>
      </c:legendEntry>
      <c:legendEntry>
        <c:idx val="34"/>
        <c:delete val="1"/>
      </c:legendEntry>
      <c:legendEntry>
        <c:idx val="35"/>
        <c:delete val="1"/>
      </c:legendEntry>
      <c:legendEntry>
        <c:idx val="36"/>
        <c:delete val="1"/>
      </c:legendEntry>
      <c:legendEntry>
        <c:idx val="37"/>
        <c:delete val="1"/>
      </c:legendEntry>
      <c:legendEntry>
        <c:idx val="38"/>
        <c:delete val="1"/>
      </c:legendEntry>
      <c:legendEntry>
        <c:idx val="39"/>
        <c:delete val="1"/>
      </c:legendEntry>
      <c:legendEntry>
        <c:idx val="40"/>
        <c:delete val="1"/>
      </c:legendEntry>
      <c:legendEntry>
        <c:idx val="41"/>
        <c:delete val="1"/>
      </c:legendEntry>
      <c:legendEntry>
        <c:idx val="42"/>
        <c:delete val="1"/>
      </c:legendEntry>
      <c:legendEntry>
        <c:idx val="43"/>
        <c:delete val="1"/>
      </c:legendEntry>
      <c:legendEntry>
        <c:idx val="44"/>
        <c:delete val="1"/>
      </c:legendEntry>
      <c:legendEntry>
        <c:idx val="45"/>
        <c:delete val="1"/>
      </c:legendEntry>
      <c:legendEntry>
        <c:idx val="46"/>
        <c:delete val="1"/>
      </c:legendEntry>
      <c:legendEntry>
        <c:idx val="47"/>
        <c:delete val="1"/>
      </c:legendEntry>
      <c:legendEntry>
        <c:idx val="48"/>
        <c:delete val="1"/>
      </c:legendEntry>
      <c:legendEntry>
        <c:idx val="49"/>
        <c:delete val="1"/>
      </c:legendEntry>
      <c:legendEntry>
        <c:idx val="50"/>
        <c:delete val="1"/>
      </c:legendEntry>
      <c:legendEntry>
        <c:idx val="51"/>
        <c:delete val="1"/>
      </c:legendEntry>
      <c:legendEntry>
        <c:idx val="52"/>
        <c:delete val="1"/>
      </c:legendEntry>
      <c:legendEntry>
        <c:idx val="53"/>
        <c:delete val="1"/>
      </c:legendEntry>
      <c:legendEntry>
        <c:idx val="54"/>
        <c:delete val="1"/>
      </c:legendEntry>
      <c:legendEntry>
        <c:idx val="55"/>
        <c:delete val="1"/>
      </c:legendEntry>
      <c:legendEntry>
        <c:idx val="56"/>
        <c:delete val="1"/>
      </c:legendEntry>
      <c:overlay val="0"/>
      <c:spPr>
        <a:solidFill>
          <a:schemeClr val="bg2"/>
        </a:solidFill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165100" dist="50800" dir="5400000" algn="ctr" rotWithShape="0">
        <a:srgbClr val="000000"/>
      </a:outerShdw>
      <a:softEdge rad="0"/>
    </a:effectLst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259080</xdr:colOff>
      <xdr:row>0</xdr:row>
      <xdr:rowOff>0</xdr:rowOff>
    </xdr:from>
    <xdr:to>
      <xdr:col>16</xdr:col>
      <xdr:colOff>99060</xdr:colOff>
      <xdr:row>26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B91C6F-B130-4652-94F5-CCC6E99B1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onardo Longaray" refreshedDate="46275.039486574075" createdVersion="8" refreshedVersion="8" minRefreshableVersion="3" recordCount="401" xr:uid="{B529ECC2-F3F0-402B-9504-220C5C0DC210}">
  <cacheSource type="worksheet">
    <worksheetSource ref="A1:P402" sheet="Game_of_throne_Dados_Limpos"/>
  </cacheSource>
  <cacheFields count="16">
    <cacheField name="status" numFmtId="0">
      <sharedItems containsBlank="1"/>
    </cacheField>
    <cacheField name="nome" numFmtId="0">
      <sharedItems containsBlank="1"/>
    </cacheField>
    <cacheField name="cpf" numFmtId="0">
      <sharedItems containsBlank="1" containsMixedTypes="1" containsNumber="1" containsInteger="1" minValue="1800" maxValue="29000"/>
    </cacheField>
    <cacheField name="idade" numFmtId="0">
      <sharedItems containsString="0" containsBlank="1" containsNumber="1" containsInteger="1" minValue="18" maxValue="74" count="58">
        <n v="47"/>
        <n v="69"/>
        <n v="36"/>
        <n v="55"/>
        <n v="56"/>
        <n v="45"/>
        <n v="65"/>
        <n v="19"/>
        <n v="66"/>
        <n v="72"/>
        <n v="24"/>
        <n v="21"/>
        <n v="49"/>
        <n v="70"/>
        <n v="50"/>
        <n v="51"/>
        <n v="33"/>
        <n v="29"/>
        <n v="35"/>
        <n v="38"/>
        <n v="59"/>
        <n v="37"/>
        <n v="73"/>
        <n v="25"/>
        <n v="44"/>
        <n v="20"/>
        <n v="23"/>
        <n v="48"/>
        <n v="18"/>
        <n v="62"/>
        <n v="39"/>
        <n v="53"/>
        <n v="42"/>
        <n v="67"/>
        <n v="28"/>
        <n v="68"/>
        <n v="43"/>
        <n v="26"/>
        <n v="61"/>
        <n v="30"/>
        <n v="60"/>
        <n v="63"/>
        <n v="27"/>
        <n v="64"/>
        <n v="57"/>
        <n v="52"/>
        <n v="46"/>
        <n v="32"/>
        <n v="54"/>
        <n v="31"/>
        <n v="74"/>
        <n v="22"/>
        <n v="58"/>
        <n v="41"/>
        <n v="34"/>
        <n v="40"/>
        <n v="71"/>
        <m/>
      </sharedItems>
    </cacheField>
    <cacheField name="data_nascimento" numFmtId="0">
      <sharedItems containsDate="1" containsBlank="1" containsMixedTypes="1" minDate="1952-02-23T00:00:00" maxDate="2007-10-15T00:00:00"/>
    </cacheField>
    <cacheField name="cidade" numFmtId="0">
      <sharedItems containsBlank="1"/>
    </cacheField>
    <cacheField name="regiao" numFmtId="0">
      <sharedItems containsBlank="1"/>
    </cacheField>
    <cacheField name="renda_mensal" numFmtId="0">
      <sharedItems containsString="0" containsBlank="1" containsNumber="1" containsInteger="1" minValue="0" maxValue="30000"/>
    </cacheField>
    <cacheField name="credito_tomado" numFmtId="0">
      <sharedItems containsString="0" containsBlank="1" containsNumber="1" containsInteger="1" minValue="0" maxValue="80000"/>
    </cacheField>
    <cacheField name="qtde_batalhas" numFmtId="0">
      <sharedItems containsString="0" containsBlank="1" containsNumber="1" containsInteger="1" minValue="0" maxValue="45"/>
    </cacheField>
    <cacheField name="nivel_risco" numFmtId="0">
      <sharedItems containsBlank="1"/>
    </cacheField>
    <cacheField name="flag_inadimplente" numFmtId="0">
      <sharedItems containsBlank="1" count="4">
        <s v="Não"/>
        <s v="N/I"/>
        <s v="Sim"/>
        <m/>
      </sharedItems>
    </cacheField>
    <cacheField name="valor_solicitado" numFmtId="0">
      <sharedItems containsString="0" containsBlank="1" containsNumber="1" containsInteger="1" minValue="1000" maxValue="100000"/>
    </cacheField>
    <cacheField name="Primeira Análise" numFmtId="0">
      <sharedItems containsBlank="1"/>
    </cacheField>
    <cacheField name="Segunda Análise" numFmtId="0">
      <sharedItems containsBlank="1"/>
    </cacheField>
    <cacheField name="Liberação de Crédito" numFmtId="0">
      <sharedItems containsString="0" containsBlank="1" containsNumber="1" containsInteger="1" minValue="0" maxValue="8000" count="142">
        <n v="7920"/>
        <n v="7120"/>
        <n v="5800"/>
        <n v="1720"/>
        <n v="0"/>
        <n v="4480"/>
        <n v="1240"/>
        <n v="2360"/>
        <n v="1400"/>
        <n v="4000"/>
        <n v="5240"/>
        <n v="4120"/>
        <n v="6680"/>
        <n v="8000"/>
        <n v="2920"/>
        <n v="3120"/>
        <n v="5200"/>
        <n v="1160"/>
        <n v="4920"/>
        <n v="4200"/>
        <n v="3880"/>
        <n v="3640"/>
        <n v="5760"/>
        <n v="3160"/>
        <n v="520"/>
        <n v="1640"/>
        <n v="2800"/>
        <n v="3840"/>
        <n v="240"/>
        <n v="2760"/>
        <n v="6520"/>
        <n v="2600"/>
        <n v="4560"/>
        <n v="2000"/>
        <n v="360"/>
        <n v="2480"/>
        <n v="2560"/>
        <n v="5840"/>
        <n v="2640"/>
        <n v="560"/>
        <n v="6960"/>
        <n v="7080"/>
        <n v="5560"/>
        <n v="3720"/>
        <n v="4960"/>
        <n v="7400"/>
        <n v="6480"/>
        <n v="5440"/>
        <n v="7280"/>
        <n v="7960"/>
        <n v="1880"/>
        <n v="6240"/>
        <n v="7320"/>
        <n v="4640"/>
        <n v="1960"/>
        <n v="5360"/>
        <n v="4240"/>
        <n v="5520"/>
        <n v="160"/>
        <n v="2200"/>
        <n v="2680"/>
        <n v="6800"/>
        <n v="720"/>
        <n v="5480"/>
        <n v="3080"/>
        <n v="4440"/>
        <n v="1440"/>
        <n v="7600"/>
        <n v="600"/>
        <n v="3000"/>
        <n v="6320"/>
        <n v="7200"/>
        <n v="3520"/>
        <n v="7520"/>
        <n v="1800"/>
        <n v="840"/>
        <n v="5280"/>
        <n v="1280"/>
        <n v="4080"/>
        <n v="1480"/>
        <n v="3280"/>
        <n v="1320"/>
        <n v="5880"/>
        <n v="3760"/>
        <n v="4320"/>
        <n v="4760"/>
        <n v="2280"/>
        <n v="7760"/>
        <n v="3040"/>
        <n v="5080"/>
        <n v="200"/>
        <n v="7160"/>
        <n v="7040"/>
        <n v="3320"/>
        <n v="6400"/>
        <n v="2040"/>
        <n v="6160"/>
        <n v="6760"/>
        <n v="1520"/>
        <n v="800"/>
        <n v="5960"/>
        <n v="880"/>
        <n v="7880"/>
        <n v="3360"/>
        <n v="5920"/>
        <n v="5000"/>
        <n v="6000"/>
        <n v="5680"/>
        <n v="3400"/>
        <n v="5400"/>
        <n v="3480"/>
        <n v="4800"/>
        <n v="4360"/>
        <n v="6440"/>
        <n v="4040"/>
        <n v="2080"/>
        <n v="4520"/>
        <n v="3960"/>
        <n v="400"/>
        <n v="680"/>
        <n v="4600"/>
        <n v="1360"/>
        <n v="640"/>
        <n v="3920"/>
        <n v="5120"/>
        <n v="320"/>
        <n v="1680"/>
        <n v="5600"/>
        <n v="7240"/>
        <n v="4840"/>
        <n v="4160"/>
        <n v="7480"/>
        <n v="6880"/>
        <n v="6560"/>
        <n v="2880"/>
        <n v="920"/>
        <n v="7800"/>
        <n v="1760"/>
        <n v="7720"/>
        <n v="4680"/>
        <n v="224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1">
  <r>
    <s v="Ativo"/>
    <s v="Aegon Baelish"/>
    <s v="00.000.024.0-00"/>
    <x v="0"/>
    <d v="1979-06-25T00:00:00"/>
    <s v="Meereen "/>
    <s v="Essos"/>
    <n v="28400"/>
    <n v="78000"/>
    <n v="37"/>
    <s v="Alto"/>
    <x v="0"/>
    <n v="99000"/>
    <s v="Aprovado"/>
    <s v="Aprovado"/>
    <x v="0"/>
  </r>
  <r>
    <s v="Ativo"/>
    <s v="Aegon Blackwood"/>
    <s v="000.000.118-00"/>
    <x v="1"/>
    <d v="1957-08-22T00:00:00"/>
    <s v="Jardim de Cima"/>
    <s v="Campina"/>
    <n v="23800"/>
    <n v="0"/>
    <n v="26"/>
    <s v="Alto"/>
    <x v="1"/>
    <n v="89000"/>
    <s v="Aprovado"/>
    <s v="Aprovado"/>
    <x v="1"/>
  </r>
  <r>
    <s v="Ativo"/>
    <s v="Aegon Bracken"/>
    <s v="000.000.244-00"/>
    <x v="1"/>
    <d v="1956-09-27T00:00:00"/>
    <s v="Correrrio"/>
    <s v="terras fluviais"/>
    <n v="8100"/>
    <n v="27500"/>
    <n v="42"/>
    <s v="Alto"/>
    <x v="0"/>
    <n v="72500"/>
    <s v="Aprovado"/>
    <s v="Aprovado"/>
    <x v="2"/>
  </r>
  <r>
    <s v="Ativo"/>
    <s v="Aegon Clegane"/>
    <s v="000.000.330-00"/>
    <x v="2"/>
    <d v="1990-02-04T00:00:00"/>
    <s v="Meereen"/>
    <s v="Essos"/>
    <n v="16600"/>
    <n v="23500"/>
    <n v="10"/>
    <s v="Baixo"/>
    <x v="0"/>
    <n v="21500"/>
    <s v="Aprovado"/>
    <s v="Aprovado"/>
    <x v="3"/>
  </r>
  <r>
    <s v="Inativo"/>
    <s v="Aegon Florent"/>
    <s v="000.000.000-00"/>
    <x v="3"/>
    <d v="1970-11-23T00:00:00"/>
    <s v="Meereen"/>
    <s v="Essos"/>
    <n v="6800"/>
    <n v="12000"/>
    <n v="6"/>
    <s v="Baixo"/>
    <x v="0"/>
    <n v="11000"/>
    <s v="Aprovado"/>
    <s v="Aprovado"/>
    <x v="4"/>
  </r>
  <r>
    <s v="Ativo"/>
    <s v="Aegon Frey"/>
    <s v="000.000.338-00"/>
    <x v="4"/>
    <d v="1969-11-18T00:00:00"/>
    <s v="Dorne"/>
    <s v="Dorne"/>
    <n v="11100"/>
    <n v="63000"/>
    <n v="0"/>
    <s v="Baixo"/>
    <x v="0"/>
    <n v="56000"/>
    <s v="Aprovado"/>
    <s v="Aprovado"/>
    <x v="5"/>
  </r>
  <r>
    <s v="Inativo"/>
    <s v="Aegon Hornwood"/>
    <s v="000.000.000-00"/>
    <x v="5"/>
    <d v="1980-10-12T00:00:00"/>
    <s v="Solar do Entardecer"/>
    <s v="Terras da Tempestade"/>
    <n v="5100"/>
    <n v="25000"/>
    <n v="29"/>
    <s v="Alto"/>
    <x v="0"/>
    <n v="88000"/>
    <s v="Aprovado"/>
    <s v="Aprovado"/>
    <x v="4"/>
  </r>
  <r>
    <s v="Ativo"/>
    <s v="Aegon Marbrand"/>
    <s v="000.000.000-00"/>
    <x v="6"/>
    <d v="1961-02-25T00:00:00"/>
    <s v="Castelo Negro"/>
    <s v="Norte"/>
    <n v="3800"/>
    <n v="49500"/>
    <n v="16"/>
    <s v="Médio"/>
    <x v="0"/>
    <n v="15500"/>
    <s v="Aprovado"/>
    <s v="Aprovado"/>
    <x v="6"/>
  </r>
  <r>
    <s v="Ativo"/>
    <s v="Aegon Redwyne"/>
    <s v="000.000.347-00"/>
    <x v="7"/>
    <d v="2006-10-26T00:00:00"/>
    <s v="Pyke"/>
    <s v="ILHAS DE FERRO"/>
    <n v="14900"/>
    <n v="17000"/>
    <n v="20"/>
    <s v="Médio"/>
    <x v="0"/>
    <n v="29500"/>
    <s v="Aprovado"/>
    <s v="Aprovado"/>
    <x v="7"/>
  </r>
  <r>
    <s v="Inativo"/>
    <s v="Aegon Umber"/>
    <s v="000.000.356-00"/>
    <x v="8"/>
    <d v="1960-07-04T00:00:00"/>
    <s v="Meereen"/>
    <s v="Essos"/>
    <n v="16800"/>
    <n v="79500"/>
    <n v="36"/>
    <s v="Alto"/>
    <x v="0"/>
    <n v="1500"/>
    <s v="Aprovado"/>
    <s v="Aprovado"/>
    <x v="4"/>
  </r>
  <r>
    <s v="Ativo"/>
    <s v="Arya Bolton"/>
    <n v="7200"/>
    <x v="9"/>
    <s v="08/05/1954"/>
    <s v="Solar do Entardecer"/>
    <s v="Terras da Tempestade"/>
    <n v="27100"/>
    <n v="71000"/>
    <n v="32"/>
    <s v="Alto"/>
    <x v="0"/>
    <n v="29500"/>
    <s v="Aprovado"/>
    <s v="Aprovado"/>
    <x v="7"/>
  </r>
  <r>
    <s v="Ativo"/>
    <s v="Arya Marbrand"/>
    <s v="000.000.133-00"/>
    <x v="10"/>
    <d v="2001-10-08T00:00:00"/>
    <s v="Ninho da Águia"/>
    <s v="Vale"/>
    <n v="21600"/>
    <n v="25000"/>
    <n v="33"/>
    <s v="Alto"/>
    <x v="0"/>
    <n v="17500"/>
    <s v="Aprovado"/>
    <s v="Aprovado"/>
    <x v="8"/>
  </r>
  <r>
    <s v="Ativo"/>
    <s v="Arya Redwyne"/>
    <s v="000.000.333-00"/>
    <x v="11"/>
    <d v="2004-12-02T00:00:00"/>
    <s v="Correrrio"/>
    <s v="terras fluviais"/>
    <n v="3800"/>
    <n v="0"/>
    <n v="25"/>
    <s v="Médio"/>
    <x v="0"/>
    <n v="50000"/>
    <s v="Aprovado"/>
    <s v="Aprovado"/>
    <x v="9"/>
  </r>
  <r>
    <s v="Inativo"/>
    <s v="Asha Arryn"/>
    <s v="000.000.122-00"/>
    <x v="12"/>
    <d v="1976-10-16T00:00:00"/>
    <s v="Castelo Negro"/>
    <s v="Norte"/>
    <n v="25200"/>
    <n v="59500"/>
    <n v="37"/>
    <s v="Alto"/>
    <x v="0"/>
    <n v="86500"/>
    <s v="Aprovado"/>
    <s v="Aprovado"/>
    <x v="4"/>
  </r>
  <r>
    <s v="Ativo"/>
    <s v="Asha Baratheon"/>
    <s v="000.000.195-00"/>
    <x v="13"/>
    <d v="1956-04-25T00:00:00"/>
    <s v="Braavos"/>
    <s v="Essos"/>
    <n v="16300"/>
    <n v="16500"/>
    <n v="25"/>
    <s v="Médio"/>
    <x v="0"/>
    <n v="65500"/>
    <s v="Aprovado"/>
    <s v="Aprovado"/>
    <x v="10"/>
  </r>
  <r>
    <s v="Ativo"/>
    <s v="Asha Blackwood"/>
    <s v="000.000.085-00"/>
    <x v="14"/>
    <d v="1976-05-06T00:00:00"/>
    <s v="Dorne"/>
    <s v="Dorne"/>
    <n v="16100"/>
    <n v="8000"/>
    <n v="30"/>
    <s v="Alto"/>
    <x v="2"/>
    <n v="27000"/>
    <s v="Negado"/>
    <s v="Negado"/>
    <x v="4"/>
  </r>
  <r>
    <s v="Inativo"/>
    <s v="Asha Bolton"/>
    <s v="000.000.000-00"/>
    <x v="15"/>
    <d v="1975-07-15T00:00:00"/>
    <s v="Castelo Negro"/>
    <s v="Norte"/>
    <n v="19400"/>
    <n v="4000"/>
    <n v="30"/>
    <s v="Alto"/>
    <x v="0"/>
    <n v="38500"/>
    <s v="Aprovado"/>
    <s v="Aprovado"/>
    <x v="4"/>
  </r>
  <r>
    <s v="Ativo"/>
    <s v="Asha Hornwood"/>
    <s v="000.000.363-00"/>
    <x v="16"/>
    <d v="1993-06-24T00:00:00"/>
    <s v="Pedra do Dragão"/>
    <s v="Terras da Coroa"/>
    <n v="21500"/>
    <n v="0"/>
    <n v="22"/>
    <s v="Médio"/>
    <x v="0"/>
    <n v="51500"/>
    <s v="Aprovado"/>
    <s v="Aprovado"/>
    <x v="11"/>
  </r>
  <r>
    <s v="Inativo"/>
    <s v="Asha Manderly"/>
    <s v="000.000.357-00"/>
    <x v="17"/>
    <d v="1997-06-26T00:00:00"/>
    <s v="Ilha dos Ursos"/>
    <s v="Norte"/>
    <n v="13800"/>
    <n v="41500"/>
    <n v="34"/>
    <s v="Alto"/>
    <x v="0"/>
    <n v="66000"/>
    <s v="Aprovado"/>
    <s v="Aprovado"/>
    <x v="4"/>
  </r>
  <r>
    <s v="Ativo"/>
    <s v="Asha Redwyne"/>
    <s v="000.000.000-00"/>
    <x v="18"/>
    <d v="1991-07-25T00:00:00"/>
    <s v="Pedra do Dragão"/>
    <s v="Terras da Coroa"/>
    <n v="8400"/>
    <n v="62500"/>
    <n v="31"/>
    <s v="Alto"/>
    <x v="0"/>
    <n v="83500"/>
    <s v="Aprovado"/>
    <s v="Aprovado"/>
    <x v="12"/>
  </r>
  <r>
    <s v="Ativo"/>
    <s v="Asha Tallhart"/>
    <s v="00.000.008.6-00"/>
    <x v="19"/>
    <d v="1988-04-27T00:00:00"/>
    <s v="Pyke"/>
    <s v="ILHAS DE FERRO"/>
    <n v="17600"/>
    <n v="0"/>
    <n v="31"/>
    <s v="Alto"/>
    <x v="2"/>
    <n v="47500"/>
    <s v="Negado"/>
    <s v="Negado"/>
    <x v="4"/>
  </r>
  <r>
    <s v="Ativo"/>
    <s v="Asha Tallhart"/>
    <s v="000.000.006-00"/>
    <x v="20"/>
    <d v="1967-08-26T00:00:00"/>
    <s v="Correrrio "/>
    <s v=" Terras Fluviais"/>
    <n v="19900"/>
    <n v="55000"/>
    <n v="26"/>
    <s v="Alto"/>
    <x v="0"/>
    <n v="100000"/>
    <s v="Aprovado"/>
    <s v="Aprovado"/>
    <x v="13"/>
  </r>
  <r>
    <s v="Ativo"/>
    <s v="Beric  Karstark"/>
    <s v="000.000.172-00"/>
    <x v="21"/>
    <d v="1989-06-21T00:00:00"/>
    <s v="Braavos"/>
    <s v="Essos"/>
    <n v="28900"/>
    <n v="71000"/>
    <n v="28"/>
    <s v="Alto"/>
    <x v="0"/>
    <n v="36500"/>
    <s v="Aprovado"/>
    <s v="Aprovado"/>
    <x v="14"/>
  </r>
  <r>
    <s v="Ativo"/>
    <s v="Beric  Umber"/>
    <s v="000.000.000-00"/>
    <x v="22"/>
    <d v="1953-06-28T00:00:00"/>
    <s v="Pedra do Dragão"/>
    <s v="Terras da Coroa"/>
    <n v="12700"/>
    <n v="79500"/>
    <n v="35"/>
    <s v="Alto"/>
    <x v="0"/>
    <n v="39000"/>
    <s v="Aprovado"/>
    <s v="Aprovado"/>
    <x v="15"/>
  </r>
  <r>
    <s v="Ativo"/>
    <s v="BERIC CRAKEHALL"/>
    <s v="000.000.067-00"/>
    <x v="3"/>
    <d v="1971-06-20T00:00:00"/>
    <s v="Pyke"/>
    <s v="ILHAS DE FERRO"/>
    <n v="22100"/>
    <n v="41500"/>
    <n v="18"/>
    <s v="Médio"/>
    <x v="0"/>
    <n v="65000"/>
    <s v="Aprovado"/>
    <s v="Aprovado"/>
    <x v="16"/>
  </r>
  <r>
    <s v="Inativo"/>
    <s v="Beric Manderly"/>
    <s v="000.000.000-00"/>
    <x v="23"/>
    <d v="2001-08-28T00:00:00"/>
    <s v="Lannisporto"/>
    <s v="Oeste"/>
    <n v="24500"/>
    <n v="0"/>
    <n v="0"/>
    <s v="Baixo"/>
    <x v="0"/>
    <n v="55000"/>
    <s v="Aprovado"/>
    <s v="Aprovado"/>
    <x v="4"/>
  </r>
  <r>
    <s v="Ativo"/>
    <s v="Beric Seaworth"/>
    <s v="000.000.025-00"/>
    <x v="9"/>
    <d v="1954-03-17T00:00:00"/>
    <s v="Correrrio"/>
    <s v="terras fluviais"/>
    <n v="24300"/>
    <n v="13500"/>
    <n v="33"/>
    <s v="Alto"/>
    <x v="0"/>
    <n v="14500"/>
    <s v="Aprovado"/>
    <s v="Aprovado"/>
    <x v="17"/>
  </r>
  <r>
    <s v="Ativo"/>
    <s v="Beric Tallhart"/>
    <s v="000.000.048-00"/>
    <x v="16"/>
    <d v="1993-04-25T00:00:00"/>
    <s v="Ilha dos Ursos"/>
    <s v="Norte"/>
    <n v="29700"/>
    <n v="38000"/>
    <n v="41"/>
    <s v="Alto"/>
    <x v="2"/>
    <n v="83500"/>
    <s v="Negado"/>
    <s v="Negado"/>
    <x v="4"/>
  </r>
  <r>
    <s v="Inativo"/>
    <s v="Beric Tallhart"/>
    <s v="000.000.291-00"/>
    <x v="24"/>
    <d v="1981-12-28T00:00:00"/>
    <s v="Dorne"/>
    <s v="Dorne"/>
    <n v="0"/>
    <n v="0"/>
    <n v="4"/>
    <s v="Baixo"/>
    <x v="0"/>
    <n v="80000"/>
    <s v="Aprovado"/>
    <s v="Aprovado"/>
    <x v="4"/>
  </r>
  <r>
    <s v="Ativo"/>
    <s v="Beric Tyrell"/>
    <s v="000.000.242-00"/>
    <x v="8"/>
    <d v="1960-08-23T00:00:00"/>
    <s v="Vilavelha"/>
    <s v="Campina"/>
    <n v="11800"/>
    <n v="2000"/>
    <n v="23"/>
    <s v="Médio"/>
    <x v="2"/>
    <n v="72500"/>
    <s v="Aprovado"/>
    <s v="Aprovado"/>
    <x v="2"/>
  </r>
  <r>
    <s v="Ativo"/>
    <s v="Beric Tyrell"/>
    <s v="000.000.103-00"/>
    <x v="25"/>
    <d v="2006-08-28T00:00:00"/>
    <s v="Fosso Cailin"/>
    <s v="Norte"/>
    <n v="18200"/>
    <n v="0"/>
    <n v="21"/>
    <s v="Médio"/>
    <x v="0"/>
    <n v="61500"/>
    <s v="Aprovado"/>
    <s v="Aprovado"/>
    <x v="18"/>
  </r>
  <r>
    <s v="Ativo"/>
    <s v="BRAN BOLTON"/>
    <s v="000.000.003-00"/>
    <x v="26"/>
    <d v="2003-06-13T00:00:00"/>
    <s v="Porto Real"/>
    <s v="Terras da Coroa"/>
    <n v="17900"/>
    <n v="28000"/>
    <n v="41"/>
    <s v="Alto"/>
    <x v="0"/>
    <n v="52500"/>
    <s v="Aprovado"/>
    <s v="Aprovado"/>
    <x v="19"/>
  </r>
  <r>
    <s v="Ativo"/>
    <s v="Bran Dayne"/>
    <s v="000.000.288-00"/>
    <x v="27"/>
    <d v="1977-11-01T00:00:00"/>
    <s v="Pyke"/>
    <s v="ILHAS DE FERRO"/>
    <n v="4500"/>
    <n v="0"/>
    <n v="3"/>
    <s v="Baixo"/>
    <x v="0"/>
    <n v="48500"/>
    <s v="Aprovado"/>
    <s v="Aprovado"/>
    <x v="20"/>
  </r>
  <r>
    <s v="Ativo"/>
    <s v="Bran Dondarrion"/>
    <s v="000.000.000-00"/>
    <x v="28"/>
    <d v="2007-10-14T00:00:00"/>
    <s v="Meereen"/>
    <s v="Essos"/>
    <n v="18500"/>
    <n v="74500"/>
    <n v="20"/>
    <s v="Médio"/>
    <x v="2"/>
    <n v="45500"/>
    <s v="Aprovado"/>
    <s v="Negado"/>
    <x v="21"/>
  </r>
  <r>
    <s v="Ativo"/>
    <s v="bran florent"/>
    <s v="000.000.218-00"/>
    <x v="29"/>
    <d v="1964-04-21T00:00:00"/>
    <s v="Ninho da Águia"/>
    <s v="Vale"/>
    <n v="0"/>
    <n v="0"/>
    <n v="38"/>
    <s v="Alto"/>
    <x v="0"/>
    <n v="72000"/>
    <s v="Aprovado"/>
    <s v="Aprovado"/>
    <x v="22"/>
  </r>
  <r>
    <s v="Ativo"/>
    <s v="Bran Frey"/>
    <s v="000.000.189-00"/>
    <x v="30"/>
    <d v="1987-07-10T00:00:00"/>
    <s v="Ilha dos Ursos "/>
    <s v=" Norte"/>
    <n v="8000"/>
    <n v="69000"/>
    <n v="15"/>
    <s v="Médio"/>
    <x v="0"/>
    <n v="39500"/>
    <s v="Aprovado"/>
    <s v="Aprovado"/>
    <x v="23"/>
  </r>
  <r>
    <s v="Ativo"/>
    <s v="Bran Frey"/>
    <s v="000.000.189-00"/>
    <x v="30"/>
    <s v="10/07/1987"/>
    <s v="Ilha dos Ursos "/>
    <s v=" Norte"/>
    <n v="8000"/>
    <n v="69000"/>
    <n v="15"/>
    <s v="Médio"/>
    <x v="0"/>
    <n v="6500"/>
    <s v="Aprovado"/>
    <s v="Aprovado"/>
    <x v="24"/>
  </r>
  <r>
    <s v="Ativo"/>
    <s v="Bran Frey"/>
    <s v="000.000.042-00"/>
    <x v="16"/>
    <d v="1992-10-15T00:00:00"/>
    <s v="Braaavos"/>
    <m/>
    <n v="29200"/>
    <n v="3000"/>
    <n v="40"/>
    <s v="Alto"/>
    <x v="2"/>
    <n v="26000"/>
    <s v="Negado"/>
    <s v="Negado"/>
    <x v="4"/>
  </r>
  <r>
    <s v="Inativo"/>
    <s v="Bran Karstark"/>
    <s v="000.000.241-00"/>
    <x v="11"/>
    <d v="2004-12-07T00:00:00"/>
    <s v="Pyke"/>
    <s v="ILHAS DE FERRO"/>
    <n v="4400"/>
    <n v="23500"/>
    <n v="31"/>
    <s v="Alto"/>
    <x v="2"/>
    <n v="91000"/>
    <s v="Negado"/>
    <s v="Negado"/>
    <x v="4"/>
  </r>
  <r>
    <s v="Ativo"/>
    <s v="Bran Tarly"/>
    <s v="000.000.269-00"/>
    <x v="31"/>
    <d v="1973-05-06T00:00:00"/>
    <s v="Braavos"/>
    <s v="Essos"/>
    <n v="0"/>
    <n v="21500"/>
    <n v="44"/>
    <s v="Alto"/>
    <x v="2"/>
    <n v="3500"/>
    <s v="Negado"/>
    <s v="Negado"/>
    <x v="4"/>
  </r>
  <r>
    <s v="Ativo"/>
    <s v="Bran Umber"/>
    <s v="000.000.000-00"/>
    <x v="17"/>
    <d v="1996-09-26T00:00:00"/>
    <s v="Pyke"/>
    <s v="ILHAS DE FERRO"/>
    <n v="19500"/>
    <n v="57000"/>
    <n v="12"/>
    <s v="Médio"/>
    <x v="0"/>
    <n v="20500"/>
    <s v="Aprovado"/>
    <s v="Aprovado"/>
    <x v="25"/>
  </r>
  <r>
    <s v="Ativo"/>
    <s v="Bran Yronwood"/>
    <s v="000.000.057-00"/>
    <x v="32"/>
    <d v="1984-07-15T00:00:00"/>
    <s v="Pyke"/>
    <s v="ILHAS DE FERRO"/>
    <n v="17500"/>
    <n v="3500"/>
    <n v="25"/>
    <s v="Médio"/>
    <x v="0"/>
    <n v="35000"/>
    <s v="Aprovado"/>
    <s v="Aprovado"/>
    <x v="26"/>
  </r>
  <r>
    <s v="Ativo"/>
    <s v="Brienne Dayne"/>
    <s v="000.000.070-00"/>
    <x v="29"/>
    <d v="1963-11-22T00:00:00"/>
    <s v="Pedra do Dragão"/>
    <s v="Terras da Coroa"/>
    <n v="11900"/>
    <n v="58500"/>
    <n v="37"/>
    <s v="Alto"/>
    <x v="0"/>
    <n v="48000"/>
    <s v="Aprovado"/>
    <s v="Aprovado"/>
    <x v="27"/>
  </r>
  <r>
    <s v="Ativo"/>
    <s v="Brienne Dondarrion"/>
    <s v="000.000.256-00"/>
    <x v="30"/>
    <d v="1987-02-06T00:00:00"/>
    <s v="Ilha dos Ursos"/>
    <s v="Norte"/>
    <n v="9300"/>
    <n v="36500"/>
    <n v="0"/>
    <s v="Baixo"/>
    <x v="0"/>
    <n v="3000"/>
    <s v="Aprovado"/>
    <s v="Aprovado"/>
    <x v="28"/>
  </r>
  <r>
    <s v="Ativo"/>
    <s v="Brienne Glover"/>
    <s v="000.000.355-00"/>
    <x v="33"/>
    <d v="1958-12-03T00:00:00"/>
    <s v="Solar do Entardecer"/>
    <s v="Terras da Tempestade"/>
    <n v="11300"/>
    <n v="49500"/>
    <n v="12"/>
    <s v="Médio"/>
    <x v="0"/>
    <n v="34500"/>
    <s v="Aprovado"/>
    <s v="Aprovado"/>
    <x v="29"/>
  </r>
  <r>
    <s v="Ativo"/>
    <s v="BRIENNE KARSTARK"/>
    <s v="000.000.031-00"/>
    <x v="26"/>
    <d v="2002-10-01T00:00:00"/>
    <s v="Pyke "/>
    <s v=" Ilhas de Ferro"/>
    <n v="10700"/>
    <n v="15000"/>
    <n v="42"/>
    <s v="Alto"/>
    <x v="0"/>
    <n v="81500"/>
    <s v="Aprovado"/>
    <s v="Aprovado"/>
    <x v="30"/>
  </r>
  <r>
    <s v="Ativo"/>
    <s v="Brienne Mallister"/>
    <s v="000.000.202-00"/>
    <x v="31"/>
    <d v="1973-06-25T00:00:00"/>
    <s v="Ilha dos Ursos "/>
    <s v=" Norte"/>
    <n v="9500"/>
    <n v="66500"/>
    <n v="38"/>
    <s v="Alto"/>
    <x v="2"/>
    <n v="42500"/>
    <s v="Negado"/>
    <s v="Negado"/>
    <x v="4"/>
  </r>
  <r>
    <s v="Ativo"/>
    <s v="Brienne Manderly"/>
    <s v="000.000.076-00"/>
    <x v="34"/>
    <d v="1998-02-04T00:00:00"/>
    <s v="Lannisporto"/>
    <s v="Oeste"/>
    <n v="8600"/>
    <n v="19000"/>
    <n v="4"/>
    <s v="Baixo"/>
    <x v="2"/>
    <n v="32500"/>
    <s v="Aprovado"/>
    <s v="Aprovado"/>
    <x v="31"/>
  </r>
  <r>
    <s v="Ativo"/>
    <s v="Brienne Manderly"/>
    <s v="000.000.140-00"/>
    <x v="17"/>
    <d v="1997-02-11T00:00:00"/>
    <s v="Fosso Cailin "/>
    <s v=" Norte"/>
    <n v="11900"/>
    <n v="65000"/>
    <n v="29"/>
    <s v="Alto"/>
    <x v="2"/>
    <n v="12000"/>
    <s v="Negado"/>
    <s v="Negado"/>
    <x v="4"/>
  </r>
  <r>
    <s v="Inativo"/>
    <s v="Brienne Reed"/>
    <s v="000.000.306-00"/>
    <x v="35"/>
    <d v="1958-04-18T00:00:00"/>
    <s v="Pyke"/>
    <s v="ILHAS DE FERRO"/>
    <n v="3800"/>
    <n v="70000"/>
    <n v="34"/>
    <s v="Alto"/>
    <x v="2"/>
    <n v="7500"/>
    <s v="Negado"/>
    <s v="Negado"/>
    <x v="4"/>
  </r>
  <r>
    <s v="Ativo"/>
    <s v="Brienne Royce"/>
    <s v="00.000.010.8-00"/>
    <x v="30"/>
    <d v="1986-12-20T00:00:00"/>
    <s v="Vilavelha"/>
    <s v="Campina"/>
    <n v="24700"/>
    <n v="23500"/>
    <n v="43"/>
    <s v="Alto"/>
    <x v="0"/>
    <n v="57000"/>
    <s v="Aprovado"/>
    <s v="Aprovado"/>
    <x v="32"/>
  </r>
  <r>
    <s v="Ativo"/>
    <s v="Brienne Westerling"/>
    <s v="000.000.379-00"/>
    <x v="20"/>
    <d v="1967-04-16T00:00:00"/>
    <s v="Atalaia da Água Cinzenta"/>
    <m/>
    <n v="6600"/>
    <n v="50000"/>
    <n v="9"/>
    <s v="Baixo"/>
    <x v="2"/>
    <n v="25000"/>
    <s v="Aprovado"/>
    <s v="Aprovado"/>
    <x v="33"/>
  </r>
  <r>
    <s v="Ativo"/>
    <s v="BRONN ARRYN"/>
    <s v="000.000.016-00"/>
    <x v="24"/>
    <d v="1982-01-24T00:00:00"/>
    <s v="Lannisporto"/>
    <s v="Oeste"/>
    <n v="5300"/>
    <n v="6000"/>
    <n v="1"/>
    <s v="Baixo"/>
    <x v="2"/>
    <n v="4500"/>
    <s v="Aprovado"/>
    <s v="Aprovado"/>
    <x v="34"/>
  </r>
  <r>
    <s v="Inativo"/>
    <s v="Bronn Baratheon"/>
    <s v="000.000.000-00"/>
    <x v="27"/>
    <d v="1977-11-17T00:00:00"/>
    <s v="Pedra do Dragão"/>
    <s v="Terras da Coroa"/>
    <n v="6900"/>
    <n v="52500"/>
    <n v="0"/>
    <s v="Baixo"/>
    <x v="2"/>
    <n v="66000"/>
    <s v="Aprovado"/>
    <s v="Negado"/>
    <x v="4"/>
  </r>
  <r>
    <s v="Ativo"/>
    <s v="Bronn Blackwood"/>
    <s v="000.000.052-00"/>
    <x v="36"/>
    <d v="1982-12-24T00:00:00"/>
    <s v="Atalaia da Água Cinzenta"/>
    <s v="gargalo"/>
    <n v="18400"/>
    <n v="62000"/>
    <n v="33"/>
    <s v="Alto"/>
    <x v="0"/>
    <n v="31000"/>
    <s v="Aprovado"/>
    <s v="Aprovado"/>
    <x v="35"/>
  </r>
  <r>
    <s v="Ativo"/>
    <s v="Bronn Bolton"/>
    <s v="000.000.143-00"/>
    <x v="37"/>
    <d v="2000-04-03T00:00:00"/>
    <s v="Harrenhal"/>
    <s v="terras fluviais"/>
    <n v="26800"/>
    <n v="42500"/>
    <n v="29"/>
    <s v="Alto"/>
    <x v="2"/>
    <n v="66000"/>
    <s v="Negado"/>
    <s v="Negado"/>
    <x v="4"/>
  </r>
  <r>
    <s v="Ativo"/>
    <s v="Bronn Crakehall"/>
    <s v="000.000.000-00"/>
    <x v="35"/>
    <d v="1957-09-16T00:00:00"/>
    <s v="Atalaia da Água Cinzenta"/>
    <s v="gargalo"/>
    <n v="3600"/>
    <n v="64500"/>
    <n v="32"/>
    <s v="Alto"/>
    <x v="2"/>
    <n v="35500"/>
    <s v="Negado"/>
    <s v="Negado"/>
    <x v="4"/>
  </r>
  <r>
    <s v="Ativo"/>
    <s v="Bronn Dondarrion"/>
    <s v="000.000.036-00"/>
    <x v="12"/>
    <d v="1977-01-11T00:00:00"/>
    <s v="Jardim de Cima"/>
    <s v="Campina"/>
    <n v="20300"/>
    <n v="12000"/>
    <n v="27"/>
    <s v="Alto"/>
    <x v="2"/>
    <n v="67500"/>
    <s v="Negado"/>
    <s v="Negado"/>
    <x v="4"/>
  </r>
  <r>
    <s v="Ativo"/>
    <s v="Bronn Mallister"/>
    <s v="000.000.200-00"/>
    <x v="18"/>
    <m/>
    <s v="Vilavelha"/>
    <s v="Campina"/>
    <n v="28000"/>
    <n v="76500"/>
    <n v="39"/>
    <s v="Alto"/>
    <x v="0"/>
    <n v="32000"/>
    <s v="Aprovado"/>
    <s v="Aprovado"/>
    <x v="36"/>
  </r>
  <r>
    <s v="Inativo"/>
    <s v="Bronn Manderly"/>
    <s v="000.000.074-00"/>
    <x v="1"/>
    <d v="1956-11-26T00:00:00"/>
    <s v="Castelo Negro"/>
    <s v="Norte"/>
    <n v="16000"/>
    <n v="48000"/>
    <n v="29"/>
    <s v="Alto"/>
    <x v="0"/>
    <n v="74500"/>
    <s v="Aprovado"/>
    <s v="Aprovado"/>
    <x v="4"/>
  </r>
  <r>
    <s v="Ativo"/>
    <s v="Bronn Royce"/>
    <s v="000.000.000-00"/>
    <x v="38"/>
    <d v="1965-07-05T00:00:00"/>
    <s v="Solar do Entardecer"/>
    <s v="Terras da Tempestade"/>
    <n v="22900"/>
    <n v="7500"/>
    <n v="12"/>
    <s v="Médio"/>
    <x v="0"/>
    <n v="73000"/>
    <s v="Aprovado"/>
    <s v="Aprovado"/>
    <x v="37"/>
  </r>
  <r>
    <s v="Ativo"/>
    <s v="Bronn Royce"/>
    <s v="000.000.000-00"/>
    <x v="38"/>
    <d v="1965-07-05T00:00:00"/>
    <s v="Solar do Entardecer"/>
    <s v="Terras da Tempestade"/>
    <n v="22900"/>
    <n v="7500"/>
    <n v="12"/>
    <s v="Médio"/>
    <x v="0"/>
    <n v="33000"/>
    <s v="Aprovado"/>
    <s v="Aprovado"/>
    <x v="38"/>
  </r>
  <r>
    <s v="Ativo"/>
    <s v="Bronn Stark"/>
    <s v="000.000.313-00"/>
    <x v="39"/>
    <d v="1996-04-25T00:00:00"/>
    <s v="Ilha dos Ursos"/>
    <s v="Norte"/>
    <n v="13800"/>
    <n v="42000"/>
    <n v="29"/>
    <s v="Alto"/>
    <x v="1"/>
    <n v="7000"/>
    <s v="Aprovado"/>
    <s v="Aprovado"/>
    <x v="39"/>
  </r>
  <r>
    <s v="Inativo"/>
    <s v="Bronn Umber"/>
    <s v="000.000.177-00"/>
    <x v="4"/>
    <d v="1970-05-17T00:00:00"/>
    <s v="Porto Real"/>
    <s v="Terras da Coroa"/>
    <n v="11100"/>
    <n v="13000"/>
    <n v="38"/>
    <s v="Alto"/>
    <x v="0"/>
    <n v="88000"/>
    <s v="Aprovado"/>
    <s v="Aprovado"/>
    <x v="4"/>
  </r>
  <r>
    <s v="Ativo"/>
    <s v="Catelyn  Dayne"/>
    <s v="000.000.213-00"/>
    <x v="35"/>
    <d v="1957-11-21T00:00:00"/>
    <s v="Ponta Tempestade"/>
    <s v="Terras da Tempestade"/>
    <n v="24500"/>
    <n v="16500"/>
    <n v="22"/>
    <s v="Médio"/>
    <x v="0"/>
    <n v="34500"/>
    <s v="Aprovado"/>
    <s v="Aprovado"/>
    <x v="29"/>
  </r>
  <r>
    <s v="Ativo"/>
    <s v="Catelyn Cerwyn"/>
    <s v="000.000.308-00"/>
    <x v="40"/>
    <d v="1965-12-06T00:00:00"/>
    <s v="Atalaia da Água Cinzenta"/>
    <s v="gargalo"/>
    <n v="13800"/>
    <n v="45500"/>
    <n v="30"/>
    <s v="Alto"/>
    <x v="0"/>
    <n v="17500"/>
    <s v="Aprovado"/>
    <s v="Aprovado"/>
    <x v="8"/>
  </r>
  <r>
    <s v="Ativo"/>
    <s v="Catelyn Lannister"/>
    <s v="000.000.110-00"/>
    <x v="16"/>
    <d v="1993-04-11T00:00:00"/>
    <s v="Solar do Entardecer"/>
    <s v="Terras da Tempestade"/>
    <n v="29300"/>
    <n v="69000"/>
    <n v="0"/>
    <s v="Baixo"/>
    <x v="2"/>
    <n v="4500"/>
    <s v="Aprovado"/>
    <s v="Negado"/>
    <x v="34"/>
  </r>
  <r>
    <s v="Ativo"/>
    <s v="Catelyn Mallister"/>
    <s v="000.000.062-00"/>
    <x v="41"/>
    <d v="1962-12-26T00:00:00"/>
    <s v="Castelo Negro "/>
    <s v=" Norte"/>
    <n v="11200"/>
    <n v="0"/>
    <n v="41"/>
    <s v="Alto"/>
    <x v="1"/>
    <n v="83500"/>
    <s v="Aprovado"/>
    <s v="Aprovado"/>
    <x v="12"/>
  </r>
  <r>
    <s v="Ativo"/>
    <s v="Catelyn Tarly"/>
    <s v="000.000.000-00"/>
    <x v="42"/>
    <d v="1999-04-05T00:00:00"/>
    <s v="Castelo Negro"/>
    <s v="Norte"/>
    <n v="14000"/>
    <n v="63500"/>
    <n v="24"/>
    <s v="Médio"/>
    <x v="0"/>
    <n v="87000"/>
    <s v="Aprovado"/>
    <s v="Aprovado"/>
    <x v="40"/>
  </r>
  <r>
    <s v="Ativo"/>
    <s v="Catelyn Umber"/>
    <s v="000.000.000-00"/>
    <x v="43"/>
    <d v="1962-07-01T00:00:00"/>
    <s v="Harrenhal"/>
    <s v="terras fluviais"/>
    <n v="2900"/>
    <n v="76000"/>
    <n v="32"/>
    <s v="Alto"/>
    <x v="0"/>
    <n v="72500"/>
    <s v="Aprovado"/>
    <s v="Aprovado"/>
    <x v="2"/>
  </r>
  <r>
    <s v="Ativo"/>
    <s v="catelyn westerling"/>
    <s v="00.000.035.8-00"/>
    <x v="13"/>
    <d v="1956-03-01T00:00:00"/>
    <s v="Braavos"/>
    <s v="Essos"/>
    <n v="19500"/>
    <n v="62000"/>
    <n v="45"/>
    <s v="Alto"/>
    <x v="2"/>
    <n v="35500"/>
    <s v="Negado"/>
    <s v="Negado"/>
    <x v="4"/>
  </r>
  <r>
    <s v="Ativo"/>
    <s v="Catelyn Yronwood"/>
    <s v="000.000.226-00"/>
    <x v="19"/>
    <d v="1988-01-24T00:00:00"/>
    <s v="Castelo Negro"/>
    <s v="Norte"/>
    <n v="19500"/>
    <n v="39000"/>
    <n v="25"/>
    <s v="Médio"/>
    <x v="0"/>
    <n v="88500"/>
    <s v="Aprovado"/>
    <s v="Aprovado"/>
    <x v="41"/>
  </r>
  <r>
    <s v="Inativo"/>
    <s v="Cersei  Marbrand"/>
    <s v="000.000.158-00"/>
    <x v="44"/>
    <d v="1969-05-01T00:00:00"/>
    <s v="Ilha dos Ursos"/>
    <s v="Norte"/>
    <n v="9500"/>
    <n v="58000"/>
    <n v="23"/>
    <s v="Médio"/>
    <x v="0"/>
    <n v="81500"/>
    <s v="Aprovado"/>
    <s v="Aprovado"/>
    <x v="4"/>
  </r>
  <r>
    <s v="Ativo"/>
    <s v="Cersei Clegane"/>
    <s v="000.000.323-00"/>
    <x v="10"/>
    <d v="2002-01-03T00:00:00"/>
    <s v="Dorne"/>
    <s v="Dorne"/>
    <n v="25200"/>
    <n v="0"/>
    <n v="10"/>
    <s v="Baixo"/>
    <x v="0"/>
    <n v="69500"/>
    <s v="Aprovado"/>
    <s v="Aprovado"/>
    <x v="42"/>
  </r>
  <r>
    <s v="Inativo"/>
    <s v="CERSEI GLOVER"/>
    <s v="000.000.324-00"/>
    <x v="12"/>
    <d v="1977-06-10T00:00:00"/>
    <s v="Pyke"/>
    <s v="ILHAS DE FERRO"/>
    <n v="21900"/>
    <n v="69000"/>
    <n v="4"/>
    <s v="Baixo"/>
    <x v="0"/>
    <n v="80500"/>
    <s v="Aprovado"/>
    <s v="Aprovado"/>
    <x v="4"/>
  </r>
  <r>
    <s v="Ativo"/>
    <s v="Cersei Greyjoy"/>
    <s v="000.000.265-00"/>
    <x v="0"/>
    <d v="1978-12-17T00:00:00"/>
    <s v="Dorne"/>
    <s v="Dorne"/>
    <n v="21300"/>
    <n v="62000"/>
    <n v="37"/>
    <s v="Alto"/>
    <x v="2"/>
    <n v="92500"/>
    <s v="Negado"/>
    <s v="Negado"/>
    <x v="4"/>
  </r>
  <r>
    <s v="Ativo"/>
    <s v="Cersei Stark"/>
    <s v="000.000.293-00"/>
    <x v="23"/>
    <d v="2001-07-19T00:00:00"/>
    <s v="Ninho da Águia"/>
    <s v="Vale"/>
    <n v="28800"/>
    <n v="0"/>
    <n v="12"/>
    <s v="Médio"/>
    <x v="0"/>
    <n v="46500"/>
    <s v="Aprovado"/>
    <s v="Aprovado"/>
    <x v="43"/>
  </r>
  <r>
    <s v="Ativo"/>
    <s v="Cersei Tarth"/>
    <s v="000.000.147-00"/>
    <x v="45"/>
    <d v="1973-09-14T00:00:00"/>
    <s v="Ilha dos Ursos"/>
    <s v="Norte"/>
    <n v="7300"/>
    <n v="74000"/>
    <n v="40"/>
    <s v="Alto"/>
    <x v="0"/>
    <n v="34500"/>
    <s v="Aprovado"/>
    <s v="Aprovado"/>
    <x v="29"/>
  </r>
  <r>
    <s v="Inativo"/>
    <s v="Cersei Tarth"/>
    <s v="000.000.000-00"/>
    <x v="46"/>
    <d v="1980-07-25T00:00:00"/>
    <s v="Harrenhal"/>
    <s v="terras fluviais"/>
    <n v="0"/>
    <n v="37500"/>
    <n v="0"/>
    <s v="Baixo"/>
    <x v="0"/>
    <n v="77000"/>
    <s v="Aprovado"/>
    <s v="Aprovado"/>
    <x v="4"/>
  </r>
  <r>
    <s v="Inativo"/>
    <s v="Cersei Tarth"/>
    <s v="000.000.000-00"/>
    <x v="46"/>
    <d v="1980-07-25T00:00:00"/>
    <s v="Harrenhal"/>
    <s v="terras fluviais"/>
    <n v="0"/>
    <n v="37500"/>
    <n v="0"/>
    <s v="Baixo"/>
    <x v="0"/>
    <n v="21500"/>
    <s v="Aprovado"/>
    <s v="Aprovado"/>
    <x v="4"/>
  </r>
  <r>
    <s v="Ativo"/>
    <s v="Cersei Umber"/>
    <s v="000.000.058-00"/>
    <x v="29"/>
    <m/>
    <s v="Jardim de Cima"/>
    <s v="Campina"/>
    <n v="1900"/>
    <n v="3500"/>
    <n v="19"/>
    <s v="Médio"/>
    <x v="0"/>
    <n v="62000"/>
    <s v="Aprovado"/>
    <s v="Aprovado"/>
    <x v="44"/>
  </r>
  <r>
    <s v="Ativo"/>
    <s v="Daario  Dayne"/>
    <s v="000.000.144-00"/>
    <x v="23"/>
    <d v="2001-05-15T00:00:00"/>
    <s v="Solar do Entardecer"/>
    <s v="Terras da Tempestade"/>
    <n v="28200"/>
    <n v="0"/>
    <n v="29"/>
    <s v="Alto"/>
    <x v="0"/>
    <n v="92500"/>
    <s v="Aprovado"/>
    <s v="Aprovado"/>
    <x v="45"/>
  </r>
  <r>
    <s v="Inativo"/>
    <s v="Daario Arryn"/>
    <s v="000.000.173-00"/>
    <x v="41"/>
    <d v="1963-04-18T00:00:00"/>
    <s v="Ninho da Águia"/>
    <s v="Vale"/>
    <n v="9300"/>
    <n v="48500"/>
    <n v="28"/>
    <s v="Alto"/>
    <x v="0"/>
    <n v="20000"/>
    <s v="Aprovado"/>
    <s v="Aprovado"/>
    <x v="4"/>
  </r>
  <r>
    <s v="Inativo"/>
    <s v="Daario Cerwyn"/>
    <s v="000.000.000-00"/>
    <x v="40"/>
    <d v="1965-12-15T00:00:00"/>
    <s v="Lannisporto"/>
    <s v="Oeste"/>
    <n v="10100"/>
    <n v="55000"/>
    <n v="26"/>
    <s v="Alto"/>
    <x v="0"/>
    <n v="54000"/>
    <s v="Aprovado"/>
    <s v="Aprovado"/>
    <x v="4"/>
  </r>
  <r>
    <s v="Ativo"/>
    <s v="Daario Clegane"/>
    <s v="000.000.270-00"/>
    <x v="16"/>
    <d v="1992-10-04T00:00:00"/>
    <s v="Castelo Negro"/>
    <s v="Norte"/>
    <n v="29700"/>
    <n v="22000"/>
    <n v="38"/>
    <s v="Alto"/>
    <x v="0"/>
    <n v="81000"/>
    <s v="Aprovado"/>
    <s v="Aprovado"/>
    <x v="46"/>
  </r>
  <r>
    <s v="Inativo"/>
    <s v="Daario Marbrand"/>
    <s v="000.000.014-00"/>
    <x v="46"/>
    <d v="1979-09-15T00:00:00"/>
    <s v="Fosso Cailin"/>
    <s v="Norte"/>
    <n v="15000"/>
    <n v="32500"/>
    <n v="40"/>
    <s v="Alto"/>
    <x v="0"/>
    <n v="4500"/>
    <s v="Aprovado"/>
    <s v="Aprovado"/>
    <x v="4"/>
  </r>
  <r>
    <s v="Inativo"/>
    <s v="Daario Marbrand"/>
    <s v="000.000.014-00"/>
    <x v="46"/>
    <d v="1979-09-15T00:00:00"/>
    <s v="Fosso Cailin"/>
    <s v="Norte"/>
    <n v="15000"/>
    <n v="0"/>
    <n v="40"/>
    <s v="Alto"/>
    <x v="0"/>
    <n v="90500"/>
    <s v="Aprovado"/>
    <s v="Aprovado"/>
    <x v="4"/>
  </r>
  <r>
    <s v="Ativo"/>
    <s v="DAARIO TARLY"/>
    <s v="000.000.046-00"/>
    <x v="47"/>
    <d v="1994-06-23T00:00:00"/>
    <s v="Dorne"/>
    <s v="Dorne"/>
    <n v="9800"/>
    <n v="0"/>
    <n v="23"/>
    <s v="Médio"/>
    <x v="0"/>
    <n v="68000"/>
    <s v="Aprovado"/>
    <s v="Aprovado"/>
    <x v="47"/>
  </r>
  <r>
    <s v="Ativo"/>
    <s v="Daario Tarth"/>
    <n v="25500"/>
    <x v="13"/>
    <s v="14/08/1956"/>
    <s v="Braaavos "/>
    <s v=" Essos"/>
    <n v="15800"/>
    <n v="17500"/>
    <n v="18"/>
    <s v="Médio"/>
    <x v="0"/>
    <n v="91000"/>
    <s v="Aprovado"/>
    <s v="Aprovado"/>
    <x v="48"/>
  </r>
  <r>
    <s v="Ativo"/>
    <s v="Daario Tyrell"/>
    <s v="000.000.251-00"/>
    <x v="15"/>
    <d v="1974-12-14T00:00:00"/>
    <s v="Pyke"/>
    <s v="ILHAS DE FERRO"/>
    <n v="16300"/>
    <n v="0"/>
    <n v="8"/>
    <s v="Baixo"/>
    <x v="0"/>
    <n v="33000"/>
    <s v="Aprovado"/>
    <s v="Aprovado"/>
    <x v="38"/>
  </r>
  <r>
    <s v="Ativo"/>
    <s v="Daario Yronwood"/>
    <n v="18300"/>
    <x v="9"/>
    <d v="1954-03-18T00:00:00"/>
    <s v="Porto Real"/>
    <s v="Terras da Coroa"/>
    <n v="10200"/>
    <n v="0"/>
    <n v="27"/>
    <s v="Alto"/>
    <x v="0"/>
    <n v="99500"/>
    <s v="Aprovado"/>
    <s v="Aprovado"/>
    <x v="49"/>
  </r>
  <r>
    <s v="Ativo"/>
    <s v="Daenerys Seaworth"/>
    <s v="000.000.341-00"/>
    <x v="48"/>
    <d v="1971-10-07T00:00:00"/>
    <s v="Vilavelha"/>
    <s v="Campina"/>
    <n v="29700"/>
    <n v="34000"/>
    <n v="35"/>
    <s v="Alto"/>
    <x v="0"/>
    <n v="35000"/>
    <s v="Aprovado"/>
    <s v="Aprovado"/>
    <x v="26"/>
  </r>
  <r>
    <s v="Ativo"/>
    <s v="Daenerys Snow"/>
    <s v="00.000.014.2-00"/>
    <x v="27"/>
    <d v="1978-07-10T00:00:00"/>
    <s v="Dorne "/>
    <s v=" Dorne"/>
    <n v="15800"/>
    <n v="0"/>
    <n v="12"/>
    <s v="Médio"/>
    <x v="0"/>
    <n v="69500"/>
    <s v="Aprovado"/>
    <s v="Aprovado"/>
    <x v="42"/>
  </r>
  <r>
    <s v="Ativo"/>
    <s v="Daenerys Tallhart"/>
    <s v="000.000.092-00"/>
    <x v="21"/>
    <d v="1989-02-04T00:00:00"/>
    <s v="Vilavelha"/>
    <s v="Campina"/>
    <n v="29200"/>
    <n v="45000"/>
    <n v="26"/>
    <s v="Alto"/>
    <x v="0"/>
    <n v="23500"/>
    <s v="Aprovado"/>
    <s v="Aprovado"/>
    <x v="50"/>
  </r>
  <r>
    <s v="Ativo"/>
    <s v="Daenerys Tallhart"/>
    <s v="000.000.092-00"/>
    <x v="21"/>
    <d v="1989-02-04T00:00:00"/>
    <s v="Vilavelha"/>
    <s v="Campina"/>
    <n v="29200"/>
    <n v="45000"/>
    <n v="26"/>
    <s v="Alto"/>
    <x v="0"/>
    <n v="78000"/>
    <s v="Aprovado"/>
    <s v="Aprovado"/>
    <x v="51"/>
  </r>
  <r>
    <s v="Ativo"/>
    <s v="Davos  Baratheon"/>
    <s v="000.000.055-00"/>
    <x v="42"/>
    <d v="1999-06-26T00:00:00"/>
    <s v="Winterfell"/>
    <s v="Norte"/>
    <n v="22500"/>
    <n v="55500"/>
    <n v="32"/>
    <s v="Alto"/>
    <x v="0"/>
    <n v="91500"/>
    <s v="Aprovado"/>
    <s v="Aprovado"/>
    <x v="52"/>
  </r>
  <r>
    <s v="Ativo"/>
    <s v="Davos Royce"/>
    <n v="3300"/>
    <x v="49"/>
    <s v="03/08/1995"/>
    <s v="Pyke"/>
    <s v="ILHAS DE FERRO"/>
    <n v="20800"/>
    <n v="17500"/>
    <n v="35"/>
    <s v="Alto"/>
    <x v="0"/>
    <n v="58000"/>
    <s v="Aprovado"/>
    <s v="Aprovado"/>
    <x v="53"/>
  </r>
  <r>
    <s v="Ativo"/>
    <s v="Davos Tyrell"/>
    <s v="00.000.016.1-00"/>
    <x v="44"/>
    <m/>
    <s v="Lannisporto"/>
    <s v="Oeste"/>
    <n v="0"/>
    <n v="0"/>
    <n v="28"/>
    <s v="Alto"/>
    <x v="2"/>
    <n v="13000"/>
    <s v="Negado"/>
    <s v="Negado"/>
    <x v="4"/>
  </r>
  <r>
    <s v="Inativo"/>
    <s v="Davos Tyrell"/>
    <s v="000.000.079-00"/>
    <x v="6"/>
    <d v="1960-12-25T00:00:00"/>
    <s v="Ninho da Águia"/>
    <s v="Vale"/>
    <n v="3300"/>
    <n v="43500"/>
    <n v="27"/>
    <s v="Alto"/>
    <x v="0"/>
    <n v="23500"/>
    <s v="Aprovado"/>
    <s v="Aprovado"/>
    <x v="4"/>
  </r>
  <r>
    <s v="Inativo"/>
    <s v="Davos Umber"/>
    <s v="000.000.353-00"/>
    <x v="50"/>
    <d v="1952-02-23T00:00:00"/>
    <s v="Lannisporto"/>
    <s v="Oeste"/>
    <n v="24000"/>
    <n v="35000"/>
    <n v="6"/>
    <s v="Baixo"/>
    <x v="0"/>
    <n v="29500"/>
    <s v="Aprovado"/>
    <s v="Aprovado"/>
    <x v="4"/>
  </r>
  <r>
    <s v="Inativo"/>
    <s v="Eddard Crakehall"/>
    <s v="00.000.031.8-00"/>
    <x v="36"/>
    <d v="1983-03-16T00:00:00"/>
    <s v="Castelo Negro"/>
    <s v="Norte"/>
    <n v="7100"/>
    <n v="5500"/>
    <n v="23"/>
    <s v="Médio"/>
    <x v="0"/>
    <n v="67000"/>
    <s v="Aprovado"/>
    <s v="Aprovado"/>
    <x v="4"/>
  </r>
  <r>
    <s v="Inativo"/>
    <s v="Eddard Dayne"/>
    <s v="000.000.000-00"/>
    <x v="49"/>
    <d v="1995-02-16T00:00:00"/>
    <s v="Braavos"/>
    <s v="Essos"/>
    <n v="18200"/>
    <n v="78500"/>
    <n v="9"/>
    <s v="Baixo"/>
    <x v="0"/>
    <n v="73000"/>
    <s v="Aprovado"/>
    <s v="Aprovado"/>
    <x v="4"/>
  </r>
  <r>
    <s v="Inativo"/>
    <s v="Eddard Greyjoy"/>
    <s v="000.000.238-00"/>
    <x v="3"/>
    <d v="1970-10-07T00:00:00"/>
    <s v="Meereen"/>
    <s v="Essos"/>
    <n v="0"/>
    <n v="5000"/>
    <n v="8"/>
    <s v="Baixo"/>
    <x v="0"/>
    <n v="11000"/>
    <s v="Aprovado"/>
    <s v="Aprovado"/>
    <x v="4"/>
  </r>
  <r>
    <s v="Ativo"/>
    <s v="Eddard Mallister"/>
    <s v="000.000.309-00"/>
    <x v="0"/>
    <d v="1978-11-08T00:00:00"/>
    <s v="Atalaia da Água Cinzenta"/>
    <s v="gargalo"/>
    <n v="22700"/>
    <n v="8500"/>
    <n v="35"/>
    <s v="Alto"/>
    <x v="1"/>
    <n v="23500"/>
    <s v="Aprovado"/>
    <s v="Aprovado"/>
    <x v="50"/>
  </r>
  <r>
    <s v="Ativo"/>
    <s v="Eddard Payne"/>
    <s v="000.000.000-00"/>
    <x v="37"/>
    <d v="1999-09-08T00:00:00"/>
    <s v="Correrrio"/>
    <s v="terras fluviais"/>
    <n v="9200"/>
    <n v="68500"/>
    <n v="27"/>
    <s v="Alto"/>
    <x v="0"/>
    <n v="7000"/>
    <s v="Aprovado"/>
    <s v="Aprovado"/>
    <x v="39"/>
  </r>
  <r>
    <s v="Ativo"/>
    <s v="Eddard Royce"/>
    <s v="000.000.181-00"/>
    <x v="22"/>
    <d v="1952-11-16T00:00:00"/>
    <s v="Pedra do Dragão"/>
    <s v="Terras da Coroa"/>
    <n v="6100"/>
    <n v="16000"/>
    <n v="9"/>
    <s v="Baixo"/>
    <x v="0"/>
    <n v="24500"/>
    <s v="Aprovado"/>
    <s v="Aprovado"/>
    <x v="54"/>
  </r>
  <r>
    <s v="Inativo"/>
    <s v="Eddard Stark"/>
    <s v="000.000.015-00"/>
    <x v="3"/>
    <d v="1971-07-28T00:00:00"/>
    <s v="Ninho da Águia"/>
    <s v="Vale"/>
    <n v="29700"/>
    <n v="78000"/>
    <n v="14"/>
    <s v="Médio"/>
    <x v="2"/>
    <n v="27000"/>
    <s v="Aprovado"/>
    <s v="Negado"/>
    <x v="4"/>
  </r>
  <r>
    <s v="Inativo"/>
    <s v="EDDARD WESTERLING"/>
    <s v="000.000.094-00"/>
    <x v="45"/>
    <d v="1974-06-06T00:00:00"/>
    <s v="Ponta Tempestade"/>
    <s v="Terras da Tempestade"/>
    <n v="6400"/>
    <n v="37000"/>
    <n v="1"/>
    <s v="Baixo"/>
    <x v="0"/>
    <n v="87000"/>
    <s v="Aprovado"/>
    <s v="Aprovado"/>
    <x v="4"/>
  </r>
  <r>
    <s v="Inativo"/>
    <s v="Ellaria  Reed"/>
    <s v="000.000.311-00"/>
    <x v="13"/>
    <d v="1956-02-17T00:00:00"/>
    <s v="Lannisporto"/>
    <s v="Oeste"/>
    <n v="2500"/>
    <n v="0"/>
    <n v="38"/>
    <s v="Alto"/>
    <x v="0"/>
    <n v="44500"/>
    <s v="Aprovado"/>
    <s v="Aprovado"/>
    <x v="4"/>
  </r>
  <r>
    <s v="Ativo"/>
    <s v="Ellaria Baelish"/>
    <s v="000.000.336-00"/>
    <x v="47"/>
    <d v="1994-01-13T00:00:00"/>
    <s v="Ninho da Águia"/>
    <s v="Vale"/>
    <n v="15600"/>
    <n v="0"/>
    <n v="34"/>
    <s v="Alto"/>
    <x v="2"/>
    <n v="16000"/>
    <s v="Negado"/>
    <s v="Negado"/>
    <x v="4"/>
  </r>
  <r>
    <s v="Inativo"/>
    <s v="Ellaria Bracken"/>
    <s v="000.000.138-00"/>
    <x v="20"/>
    <d v="1967-02-09T00:00:00"/>
    <s v="Monte Chifre"/>
    <s v="Campina"/>
    <n v="6300"/>
    <n v="15000"/>
    <n v="42"/>
    <s v="Alto"/>
    <x v="0"/>
    <n v="8500"/>
    <s v="Aprovado"/>
    <s v="Aprovado"/>
    <x v="4"/>
  </r>
  <r>
    <s v="Ativo"/>
    <s v="Ellaria Cerwyn"/>
    <s v="000.000.019-00"/>
    <x v="15"/>
    <d v="1974-12-15T00:00:00"/>
    <s v="Dorne"/>
    <s v="Dorne"/>
    <n v="11600"/>
    <n v="41000"/>
    <n v="7"/>
    <s v="Baixo"/>
    <x v="0"/>
    <n v="67000"/>
    <s v="Aprovado"/>
    <s v="Aprovado"/>
    <x v="55"/>
  </r>
  <r>
    <s v="Inativo"/>
    <s v="Ellaria Mallister"/>
    <s v="000.000.194-00"/>
    <x v="19"/>
    <d v="1987-11-21T00:00:00"/>
    <s v="Pyke"/>
    <s v="ILHAS DE FERRO"/>
    <n v="13500"/>
    <n v="24000"/>
    <n v="2"/>
    <s v="Baixo"/>
    <x v="0"/>
    <n v="17500"/>
    <s v="Aprovado"/>
    <s v="Aprovado"/>
    <x v="4"/>
  </r>
  <r>
    <s v="Ativo"/>
    <s v="Ellaria Martell"/>
    <s v="000.000.148-00"/>
    <x v="27"/>
    <d v="1978-07-02T00:00:00"/>
    <s v="Atalaia da Água Cinzenta"/>
    <s v="gargalo"/>
    <n v="2300"/>
    <n v="26500"/>
    <n v="44"/>
    <s v="Alto"/>
    <x v="0"/>
    <n v="81000"/>
    <s v="Aprovado"/>
    <s v="Aprovado"/>
    <x v="46"/>
  </r>
  <r>
    <s v="Ativo"/>
    <s v="Ellaria Mormont"/>
    <s v="000.000.157-00"/>
    <x v="51"/>
    <d v="2003-10-10T00:00:00"/>
    <s v="Ponta Tempestade"/>
    <s v="Terras da Tempestade"/>
    <n v="2300"/>
    <n v="0"/>
    <n v="29"/>
    <s v="Alto"/>
    <x v="2"/>
    <n v="51500"/>
    <s v="Negado"/>
    <s v="Negado"/>
    <x v="4"/>
  </r>
  <r>
    <s v="Ativo"/>
    <s v="Ellaria Redwyne"/>
    <s v="000.000.093-00"/>
    <x v="4"/>
    <d v="1969-12-14T00:00:00"/>
    <s v="Dorne"/>
    <s v="Dorne"/>
    <n v="22600"/>
    <n v="63000"/>
    <n v="33"/>
    <s v="Alto"/>
    <x v="0"/>
    <n v="53000"/>
    <s v="Aprovado"/>
    <s v="Aprovado"/>
    <x v="56"/>
  </r>
  <r>
    <s v="Ativo"/>
    <s v="Ellaria Seaworth"/>
    <s v="000.000.125-00"/>
    <x v="26"/>
    <d v="2003-01-06T00:00:00"/>
    <s v="Correrrio"/>
    <s v="terras fluviais"/>
    <n v="0"/>
    <n v="69000"/>
    <n v="20"/>
    <s v="Médio"/>
    <x v="0"/>
    <n v="69000"/>
    <s v="Aprovado"/>
    <s v="Aprovado"/>
    <x v="57"/>
  </r>
  <r>
    <s v="Ativo"/>
    <s v="Ellaria Swyft"/>
    <s v="000.000.115-00"/>
    <x v="9"/>
    <d v="1954-04-25T00:00:00"/>
    <s v="Ninho da Águia"/>
    <s v="Vale"/>
    <n v="3900"/>
    <n v="27000"/>
    <n v="33"/>
    <s v="Alto"/>
    <x v="0"/>
    <n v="2000"/>
    <s v="Aprovado"/>
    <s v="Aprovado"/>
    <x v="58"/>
  </r>
  <r>
    <s v="Ativo"/>
    <s v="Ellaria Targaryen"/>
    <s v="000.000.149-00"/>
    <x v="48"/>
    <d v="1971-10-24T00:00:00"/>
    <s v="Fosso Cailin"/>
    <s v="Norte"/>
    <n v="18700"/>
    <n v="46000"/>
    <n v="4"/>
    <s v="Baixo"/>
    <x v="2"/>
    <n v="27500"/>
    <s v="Aprovado"/>
    <s v="Aprovado"/>
    <x v="59"/>
  </r>
  <r>
    <s v="Inativo"/>
    <s v="ELLARIA TARLY"/>
    <s v="000.000.026-00"/>
    <x v="33"/>
    <d v="1958-11-23T00:00:00"/>
    <s v="Braavos"/>
    <s v="Essos"/>
    <n v="3200"/>
    <n v="6500"/>
    <n v="20"/>
    <s v="Médio"/>
    <x v="0"/>
    <n v="52500"/>
    <s v="Aprovado"/>
    <s v="Aprovado"/>
    <x v="4"/>
  </r>
  <r>
    <s v="Ativo"/>
    <s v="Ellaria Yronwood"/>
    <s v="000.000.176-00"/>
    <x v="22"/>
    <s v="05/01/1953"/>
    <s v="Monte Chifre"/>
    <s v="Campina"/>
    <n v="16500"/>
    <n v="54000"/>
    <n v="11"/>
    <s v="Médio"/>
    <x v="0"/>
    <n v="33500"/>
    <s v="Aprovado"/>
    <s v="Aprovado"/>
    <x v="60"/>
  </r>
  <r>
    <s v="Ativo"/>
    <s v="Gendry Cerwyn"/>
    <s v="000.000.153-00"/>
    <x v="10"/>
    <d v="2002-05-18T00:00:00"/>
    <s v="Lannisporto "/>
    <s v=" Oeste"/>
    <n v="14200"/>
    <n v="71000"/>
    <n v="10"/>
    <s v="Baixo"/>
    <x v="0"/>
    <n v="91500"/>
    <s v="Aprovado"/>
    <s v="Aprovado"/>
    <x v="52"/>
  </r>
  <r>
    <s v="Ativo"/>
    <s v="Gendry Hightower"/>
    <s v="000.000.167-00"/>
    <x v="37"/>
    <d v="1999-11-11T00:00:00"/>
    <s v="Harrenhal "/>
    <s v=" Terras Fluviais"/>
    <n v="13900"/>
    <n v="53500"/>
    <n v="12"/>
    <s v="Médio"/>
    <x v="0"/>
    <n v="85000"/>
    <s v="Aprovado"/>
    <s v="Aprovado"/>
    <x v="61"/>
  </r>
  <r>
    <s v="Inativo"/>
    <s v="Gilly Frey"/>
    <s v="000.000.258-00"/>
    <x v="16"/>
    <d v="1993-07-04T00:00:00"/>
    <s v="Castelo Negro"/>
    <s v="Norte"/>
    <n v="2400"/>
    <n v="78000"/>
    <n v="6"/>
    <s v="Baixo"/>
    <x v="0"/>
    <n v="28000"/>
    <s v="Aprovado"/>
    <s v="Aprovado"/>
    <x v="4"/>
  </r>
  <r>
    <s v="Ativo"/>
    <s v="Gilly Glover"/>
    <s v="000.000.000-00"/>
    <x v="52"/>
    <d v="1968-01-03T00:00:00"/>
    <s v="Atalaia da Água Cinzenta"/>
    <s v="gargalo"/>
    <n v="2800"/>
    <n v="35000"/>
    <n v="36"/>
    <s v="Alto"/>
    <x v="0"/>
    <n v="9000"/>
    <s v="Aprovado"/>
    <s v="Aprovado"/>
    <x v="62"/>
  </r>
  <r>
    <s v="Ativo"/>
    <s v="Gilly Marbrand"/>
    <s v="000.000.000-00"/>
    <x v="24"/>
    <d v="1981-09-14T00:00:00"/>
    <s v="Pedra do Dragão"/>
    <s v="Terras da Coroa"/>
    <n v="11300"/>
    <n v="55000"/>
    <n v="38"/>
    <s v="Alto"/>
    <x v="0"/>
    <n v="68500"/>
    <s v="Aprovado"/>
    <s v="Aprovado"/>
    <x v="63"/>
  </r>
  <r>
    <s v="Ativo"/>
    <s v="Gilly Mormont"/>
    <s v="000.000.220-00"/>
    <x v="6"/>
    <d v="1961-03-26T00:00:00"/>
    <s v="Jardim de Cima"/>
    <s v="Campina"/>
    <n v="18000"/>
    <n v="0"/>
    <n v="27"/>
    <s v="Alto"/>
    <x v="0"/>
    <n v="38500"/>
    <s v="Aprovado"/>
    <s v="Aprovado"/>
    <x v="64"/>
  </r>
  <r>
    <s v="Inativo"/>
    <s v="Gilly Swyft"/>
    <s v="000.000.261-00"/>
    <x v="18"/>
    <d v="1990-11-11T00:00:00"/>
    <s v="Braavos"/>
    <s v="Essos"/>
    <n v="29900"/>
    <n v="64500"/>
    <n v="34"/>
    <s v="Alto"/>
    <x v="0"/>
    <n v="48500"/>
    <s v="Aprovado"/>
    <s v="Aprovado"/>
    <x v="4"/>
  </r>
  <r>
    <s v="Ativo"/>
    <s v="Grey  Worm  Greyjoy"/>
    <s v="000.000.182-00"/>
    <x v="52"/>
    <d v="1968-08-16T00:00:00"/>
    <s v="Jardim de Cima"/>
    <s v="Campina"/>
    <n v="4500"/>
    <n v="0"/>
    <n v="31"/>
    <s v="Alto"/>
    <x v="2"/>
    <n v="97500"/>
    <s v="Negado"/>
    <s v="Negado"/>
    <x v="4"/>
  </r>
  <r>
    <s v="Inativo"/>
    <s v="Grey Worm Baratheon"/>
    <s v="000.000.221-00"/>
    <x v="17"/>
    <d v="1997-06-17T00:00:00"/>
    <s v="Dorne"/>
    <s v="Dorne"/>
    <n v="15500"/>
    <n v="75000"/>
    <n v="25"/>
    <s v="Médio"/>
    <x v="0"/>
    <n v="47000"/>
    <s v="Aprovado"/>
    <s v="Aprovado"/>
    <x v="4"/>
  </r>
  <r>
    <s v="Ativo"/>
    <s v="Grey Worm Dondarrion"/>
    <s v="000.000.000-00"/>
    <x v="19"/>
    <d v="1987-10-16T00:00:00"/>
    <s v="Meereen"/>
    <s v="Essos"/>
    <n v="9700"/>
    <n v="25000"/>
    <n v="0"/>
    <s v="Baixo"/>
    <x v="0"/>
    <n v="55500"/>
    <s v="Aprovado"/>
    <s v="Aprovado"/>
    <x v="65"/>
  </r>
  <r>
    <s v="Inativo"/>
    <s v="Grey Worm Hornwood"/>
    <s v="000.000.322-00"/>
    <x v="37"/>
    <d v="2000-01-15T00:00:00"/>
    <s v="Pedra do Dragão"/>
    <s v="Terras da Coroa"/>
    <n v="24000"/>
    <n v="52000"/>
    <n v="30"/>
    <s v="Alto"/>
    <x v="0"/>
    <n v="62500"/>
    <s v="Aprovado"/>
    <s v="Aprovado"/>
    <x v="4"/>
  </r>
  <r>
    <s v="Inativo"/>
    <s v="Grey Worm Hornwood"/>
    <s v="000.000.322-00"/>
    <x v="37"/>
    <d v="2000-01-15T00:00:00"/>
    <s v="Pedra do Dragão"/>
    <s v="Terras da Coroa"/>
    <n v="24000"/>
    <n v="52000"/>
    <n v="30"/>
    <s v="Alto"/>
    <x v="0"/>
    <n v="11500"/>
    <s v="Aprovado"/>
    <s v="Aprovado"/>
    <x v="4"/>
  </r>
  <r>
    <s v="Ativo"/>
    <s v="Grey Worm Targaryen"/>
    <s v="000.000.060-00"/>
    <x v="27"/>
    <d v="1978-07-18T00:00:00"/>
    <s v="Ponta Tempestade"/>
    <s v="Terras da Tempestade"/>
    <n v="18700"/>
    <n v="11000"/>
    <n v="28"/>
    <s v="Alto"/>
    <x v="0"/>
    <n v="18000"/>
    <s v="Aprovado"/>
    <s v="Aprovado"/>
    <x v="66"/>
  </r>
  <r>
    <s v="Inativo"/>
    <s v="Grey Worm Targaryen"/>
    <n v="8400"/>
    <x v="19"/>
    <s v="27/07/1988"/>
    <s v="Pedra do Dragão"/>
    <s v="Terras da Coroa"/>
    <n v="23600"/>
    <n v="0"/>
    <n v="0"/>
    <s v="Baixo"/>
    <x v="0"/>
    <n v="28500"/>
    <s v="Aprovado"/>
    <s v="Aprovado"/>
    <x v="4"/>
  </r>
  <r>
    <s v="Inativo"/>
    <s v="Jaime Bracken"/>
    <s v="000.000.000-00"/>
    <x v="18"/>
    <d v="1991-06-28T00:00:00"/>
    <s v="Jardim de Cima"/>
    <s v="Campina"/>
    <n v="12400"/>
    <n v="0"/>
    <n v="3"/>
    <s v="Baixo"/>
    <x v="0"/>
    <n v="83500"/>
    <s v="Aprovado"/>
    <s v="Aprovado"/>
    <x v="4"/>
  </r>
  <r>
    <s v="Inativo"/>
    <s v="Jaime Bracken"/>
    <n v="16600"/>
    <x v="18"/>
    <d v="1991-06-28T00:00:00"/>
    <s v="Jardim de Cima"/>
    <s v="Campina"/>
    <n v="12400"/>
    <n v="36000"/>
    <n v="3"/>
    <s v="Baixo"/>
    <x v="0"/>
    <n v="71500"/>
    <s v="Aprovado"/>
    <s v="Aprovado"/>
    <x v="4"/>
  </r>
  <r>
    <s v="Ativo"/>
    <s v="Jaime Dondarrion"/>
    <s v="000.000.056-00"/>
    <x v="18"/>
    <d v="1991-04-08T00:00:00"/>
    <s v="Ninho da Águia"/>
    <s v="Vale"/>
    <n v="20900"/>
    <n v="54000"/>
    <n v="44"/>
    <s v="Alto"/>
    <x v="0"/>
    <n v="18000"/>
    <s v="Aprovado"/>
    <s v="Aprovado"/>
    <x v="66"/>
  </r>
  <r>
    <s v="Inativo"/>
    <s v="Jaime Seaworth"/>
    <s v="000.000.371-00"/>
    <x v="35"/>
    <s v="05/01/1958"/>
    <s v="Castelo Negro"/>
    <s v="Norte"/>
    <n v="2800"/>
    <n v="76000"/>
    <n v="44"/>
    <s v="Alto"/>
    <x v="0"/>
    <n v="27000"/>
    <s v="Aprovado"/>
    <s v="Aprovado"/>
    <x v="4"/>
  </r>
  <r>
    <s v="Inativo"/>
    <s v="Jaime Seaworth"/>
    <s v="000.000.263-00"/>
    <x v="16"/>
    <d v="1993-01-20T00:00:00"/>
    <s v="Porto Real"/>
    <s v="Terras da Coroa"/>
    <n v="23400"/>
    <n v="59000"/>
    <n v="35"/>
    <s v="Alto"/>
    <x v="2"/>
    <n v="39000"/>
    <s v="Negado"/>
    <s v="Negado"/>
    <x v="4"/>
  </r>
  <r>
    <s v="Ativo"/>
    <s v="Jaime Yronwood"/>
    <s v="000.000.000-00"/>
    <x v="10"/>
    <m/>
    <s v="Pedra do Dragão"/>
    <s v="Terras da Coroa"/>
    <n v="17000"/>
    <n v="41000"/>
    <n v="37"/>
    <s v="Alto"/>
    <x v="0"/>
    <n v="33000"/>
    <s v="Aprovado"/>
    <s v="Aprovado"/>
    <x v="38"/>
  </r>
  <r>
    <s v="Ativo"/>
    <s v="Jeor  Payne"/>
    <s v="000.000.000-00"/>
    <x v="16"/>
    <d v="1993-02-21T00:00:00"/>
    <s v="Ponta Tempestade"/>
    <s v="Terras da Tempestade"/>
    <n v="0"/>
    <n v="73500"/>
    <n v="33"/>
    <s v="Alto"/>
    <x v="0"/>
    <n v="95000"/>
    <s v="Aprovado"/>
    <s v="Aprovado"/>
    <x v="67"/>
  </r>
  <r>
    <s v="Inativo"/>
    <s v="Jeor Baelish"/>
    <s v="000.000.332-00"/>
    <x v="8"/>
    <d v="1960-05-03T00:00:00"/>
    <s v="Dorne"/>
    <s v="Dorne"/>
    <n v="14300"/>
    <n v="78000"/>
    <n v="28"/>
    <s v="Alto"/>
    <x v="0"/>
    <n v="74500"/>
    <s v="Aprovado"/>
    <s v="Aprovado"/>
    <x v="4"/>
  </r>
  <r>
    <s v="Inativo"/>
    <s v="Jeor Clegane"/>
    <s v="000.000.000-00"/>
    <x v="8"/>
    <d v="1959-11-19T00:00:00"/>
    <s v="Fosso Cailin"/>
    <s v="Norte"/>
    <n v="9900"/>
    <n v="42000"/>
    <n v="13"/>
    <s v="Médio"/>
    <x v="0"/>
    <n v="37000"/>
    <s v="Aprovado"/>
    <s v="Aprovado"/>
    <x v="4"/>
  </r>
  <r>
    <s v="Ativo"/>
    <s v="Jeor Florent"/>
    <s v="000.000.249-00"/>
    <x v="42"/>
    <d v="1999-06-08T00:00:00"/>
    <s v="Ponta Tempestade"/>
    <s v="Terras da Tempestade"/>
    <n v="28800"/>
    <n v="78500"/>
    <n v="2"/>
    <s v="Baixo"/>
    <x v="0"/>
    <n v="53000"/>
    <s v="Aprovado"/>
    <s v="Aprovado"/>
    <x v="56"/>
  </r>
  <r>
    <s v="Ativo"/>
    <s v="Jeor Karstark"/>
    <s v="000.000.310-00"/>
    <x v="23"/>
    <d v="2001-09-03T00:00:00"/>
    <s v="Ninho da Águia"/>
    <s v="Vale"/>
    <n v="0"/>
    <n v="21000"/>
    <n v="34"/>
    <s v="Alto"/>
    <x v="0"/>
    <n v="7500"/>
    <s v="Aprovado"/>
    <s v="Aprovado"/>
    <x v="68"/>
  </r>
  <r>
    <s v="Ativo"/>
    <s v="Jeor Lannister"/>
    <s v="000.000.091-00"/>
    <x v="21"/>
    <d v="1988-09-26T00:00:00"/>
    <s v="Fosso Cailin"/>
    <s v="Norte"/>
    <n v="24700"/>
    <n v="23000"/>
    <n v="10"/>
    <s v="Baixo"/>
    <x v="2"/>
    <n v="37500"/>
    <s v="Aprovado"/>
    <s v="Aprovado"/>
    <x v="69"/>
  </r>
  <r>
    <s v="Inativo"/>
    <s v="Jeor Mallister"/>
    <s v="000.000.162-00"/>
    <x v="0"/>
    <d v="1979-07-28T00:00:00"/>
    <s v="Correrrio"/>
    <s v="terras fluviais"/>
    <n v="13300"/>
    <n v="1000"/>
    <n v="24"/>
    <s v="Médio"/>
    <x v="2"/>
    <n v="61500"/>
    <s v="Aprovado"/>
    <s v="Aprovado"/>
    <x v="4"/>
  </r>
  <r>
    <s v="Inativo"/>
    <s v="Jeor Mallister"/>
    <s v="000.000.162-00"/>
    <x v="0"/>
    <d v="1979-07-28T00:00:00"/>
    <s v="Correrio"/>
    <s v="terras fluviais"/>
    <n v="13300"/>
    <n v="1000"/>
    <n v="24"/>
    <s v="Médio"/>
    <x v="2"/>
    <n v="39500"/>
    <s v="Aprovado"/>
    <s v="Aprovado"/>
    <x v="4"/>
  </r>
  <r>
    <s v="Inativo"/>
    <s v="Jeor Marbrand"/>
    <s v="000.000.073-00"/>
    <x v="41"/>
    <d v="1962-10-05T00:00:00"/>
    <s v="Braavos"/>
    <s v="Essos"/>
    <n v="29000"/>
    <n v="36500"/>
    <n v="38"/>
    <s v="Alto"/>
    <x v="0"/>
    <n v="47000"/>
    <s v="Aprovado"/>
    <s v="Aprovado"/>
    <x v="4"/>
  </r>
  <r>
    <s v="Inativo"/>
    <s v="Jeor Marbrand"/>
    <s v="000.000.073-00"/>
    <x v="41"/>
    <d v="1962-10-05T00:00:00"/>
    <s v="Braavos"/>
    <s v="Essos"/>
    <n v="29000"/>
    <n v="36500"/>
    <n v="38"/>
    <s v="Alto"/>
    <x v="0"/>
    <n v="68000"/>
    <s v="Aprovado"/>
    <s v="Aprovado"/>
    <x v="4"/>
  </r>
  <r>
    <s v="Inativo"/>
    <s v="Jeor Martell"/>
    <s v="000.000.061-00"/>
    <x v="52"/>
    <d v="1967-09-11T00:00:00"/>
    <s v="Meereen"/>
    <s v="Essos"/>
    <n v="20100"/>
    <n v="40000"/>
    <n v="16"/>
    <s v="Médio"/>
    <x v="0"/>
    <n v="98500"/>
    <s v="Aprovado"/>
    <s v="Aprovado"/>
    <x v="4"/>
  </r>
  <r>
    <s v="Ativo"/>
    <s v="Jojen Dayne"/>
    <s v="000.000.199-00"/>
    <x v="1"/>
    <m/>
    <s v="Solar do Entardecer"/>
    <s v="Terras da Tempestade"/>
    <n v="11400"/>
    <n v="0"/>
    <n v="13"/>
    <s v="Médio"/>
    <x v="2"/>
    <n v="79000"/>
    <s v="Aprovado"/>
    <s v="Aprovado"/>
    <x v="70"/>
  </r>
  <r>
    <s v="Ativo"/>
    <s v="Jojen Florent"/>
    <s v="00.000.034.3-00"/>
    <x v="27"/>
    <d v="1977-10-10T00:00:00"/>
    <s v="Winterfell"/>
    <m/>
    <n v="13300"/>
    <n v="42000"/>
    <n v="27"/>
    <s v="Alto"/>
    <x v="2"/>
    <n v="40000"/>
    <s v="Negado"/>
    <s v="Negado"/>
    <x v="4"/>
  </r>
  <r>
    <s v="Ativo"/>
    <s v="Jojen Florent"/>
    <s v="000.000.321-00"/>
    <x v="47"/>
    <d v="1993-11-26T00:00:00"/>
    <s v="Ninho da Águia"/>
    <s v="Vale"/>
    <n v="30000"/>
    <n v="0"/>
    <n v="5"/>
    <s v="Baixo"/>
    <x v="0"/>
    <n v="65000"/>
    <s v="Aprovado"/>
    <s v="Aprovado"/>
    <x v="16"/>
  </r>
  <r>
    <s v="Ativo"/>
    <s v="Jojen Hornwood"/>
    <s v="000.000.128-00"/>
    <x v="2"/>
    <d v="1989-10-15T00:00:00"/>
    <s v="Pedra do Dragão"/>
    <s v="Terras da Coroa"/>
    <n v="28600"/>
    <n v="0"/>
    <n v="19"/>
    <s v="Médio"/>
    <x v="0"/>
    <n v="90000"/>
    <s v="Aprovado"/>
    <s v="Aprovado"/>
    <x v="71"/>
  </r>
  <r>
    <s v="Ativo"/>
    <s v="Jojen Redwyne"/>
    <s v="000.000.334-00"/>
    <x v="10"/>
    <d v="2002-08-23T00:00:00"/>
    <s v="Dorne"/>
    <s v="Dorne"/>
    <n v="8900"/>
    <n v="19500"/>
    <n v="33"/>
    <s v="Alto"/>
    <x v="2"/>
    <n v="96500"/>
    <s v="Negado"/>
    <s v="Negado"/>
    <x v="4"/>
  </r>
  <r>
    <s v="Ativo"/>
    <s v="Jojen Reed"/>
    <s v="000.000.136-00"/>
    <x v="53"/>
    <d v="1984-09-19T00:00:00"/>
    <s v="Ponta Tempestade"/>
    <s v="Terras da Tempestade"/>
    <n v="20000"/>
    <n v="20500"/>
    <n v="8"/>
    <s v="Baixo"/>
    <x v="2"/>
    <n v="44000"/>
    <s v="Aprovado"/>
    <s v="Aprovado"/>
    <x v="72"/>
  </r>
  <r>
    <s v="Ativo"/>
    <s v="Jon  Karstark"/>
    <s v="000.000.139-00"/>
    <x v="3"/>
    <d v="1971-08-16T00:00:00"/>
    <s v="Jardim de Cima"/>
    <m/>
    <n v="12200"/>
    <n v="70500"/>
    <n v="33"/>
    <s v="Alto"/>
    <x v="0"/>
    <n v="78000"/>
    <s v="Aprovado"/>
    <s v="Aprovado"/>
    <x v="51"/>
  </r>
  <r>
    <s v="Ativo"/>
    <s v="Jon Baelish"/>
    <s v="000.000.000-00"/>
    <x v="33"/>
    <d v="1959-05-19T00:00:00"/>
    <s v="Meereen"/>
    <s v="Essos"/>
    <n v="10700"/>
    <n v="9000"/>
    <n v="37"/>
    <s v="Alto"/>
    <x v="0"/>
    <n v="53000"/>
    <s v="Aprovado"/>
    <s v="Aprovado"/>
    <x v="56"/>
  </r>
  <r>
    <s v="Ativo"/>
    <s v="Jon Bolton"/>
    <s v="000.000.130-00"/>
    <x v="6"/>
    <d v="1961-01-16T00:00:00"/>
    <s v="Lannisporto"/>
    <s v="Oeste"/>
    <n v="27300"/>
    <n v="48500"/>
    <n v="29"/>
    <s v="Alto"/>
    <x v="0"/>
    <n v="94000"/>
    <s v="Aprovado"/>
    <s v="Aprovado"/>
    <x v="73"/>
  </r>
  <r>
    <s v="Ativo"/>
    <s v="Jon Cerwyn"/>
    <s v="000.000.112-00"/>
    <x v="6"/>
    <d v="1961-02-02T00:00:00"/>
    <s v="Ponta Tempestade"/>
    <s v="Terras da Tempestade"/>
    <n v="6100"/>
    <n v="40000"/>
    <n v="13"/>
    <s v="Médio"/>
    <x v="0"/>
    <n v="22500"/>
    <s v="Aprovado"/>
    <s v="Aprovado"/>
    <x v="74"/>
  </r>
  <r>
    <s v="Ativo"/>
    <s v="Jon Dayne"/>
    <s v="000.000.000-00"/>
    <x v="25"/>
    <d v="2005-11-22T00:00:00"/>
    <s v="Braavos"/>
    <s v="Essos"/>
    <n v="9300"/>
    <n v="35000"/>
    <n v="5"/>
    <s v="Baixo"/>
    <x v="0"/>
    <n v="10500"/>
    <s v="Aprovado"/>
    <s v="Aprovado"/>
    <x v="75"/>
  </r>
  <r>
    <s v="Ativo"/>
    <s v="Jon Hightower"/>
    <s v="000.000.081-00"/>
    <x v="20"/>
    <d v="1966-09-12T00:00:00"/>
    <s v="Winterfell"/>
    <s v="Norte"/>
    <n v="18900"/>
    <n v="1000"/>
    <n v="42"/>
    <s v="Alto"/>
    <x v="2"/>
    <n v="16500"/>
    <s v="Negado"/>
    <s v="Negado"/>
    <x v="4"/>
  </r>
  <r>
    <s v="Ativo"/>
    <s v="Jon Hornwood"/>
    <s v="000.000.000-00"/>
    <x v="37"/>
    <d v="2000-08-21T00:00:00"/>
    <s v="Dorne"/>
    <s v="Dorne"/>
    <n v="23200"/>
    <n v="54500"/>
    <n v="26"/>
    <s v="Alto"/>
    <x v="2"/>
    <n v="75000"/>
    <s v="Negado"/>
    <s v="Negado"/>
    <x v="4"/>
  </r>
  <r>
    <s v="Ativo"/>
    <s v="Jon Hornwood"/>
    <s v="000.000.000-00"/>
    <x v="37"/>
    <d v="2000-08-21T00:00:00"/>
    <s v="Dorne"/>
    <s v="Dorne"/>
    <n v="23200"/>
    <n v="54500"/>
    <n v="26"/>
    <s v="Alto"/>
    <x v="2"/>
    <n v="39500"/>
    <s v="Negado"/>
    <s v="Negado"/>
    <x v="4"/>
  </r>
  <r>
    <s v="Ativo"/>
    <s v="Jon Marbrand"/>
    <s v="000.000.359-00"/>
    <x v="17"/>
    <d v="1997-06-19T00:00:00"/>
    <s v="Porto Real"/>
    <s v="Terras da Coroa"/>
    <n v="10000"/>
    <n v="25500"/>
    <n v="15"/>
    <s v="Médio"/>
    <x v="0"/>
    <n v="66000"/>
    <s v="Aprovado"/>
    <s v="Aprovado"/>
    <x v="76"/>
  </r>
  <r>
    <s v="Ativo"/>
    <s v="Jon Tarth"/>
    <s v="000.000.208-00"/>
    <x v="45"/>
    <d v="1974-02-28T00:00:00"/>
    <s v="Ponta Tempestade"/>
    <s v="Terras da Tempestade"/>
    <n v="24900"/>
    <n v="0"/>
    <n v="24"/>
    <s v="Médio"/>
    <x v="0"/>
    <n v="16000"/>
    <s v="Aprovado"/>
    <s v="Aprovado"/>
    <x v="77"/>
  </r>
  <r>
    <s v="Ativo"/>
    <s v="Jon Tarth"/>
    <s v="000.000.004-00"/>
    <x v="37"/>
    <d v="2000-05-25T00:00:00"/>
    <s v="Ponta Tempestade"/>
    <s v="Terras da Tempestade"/>
    <n v="25000"/>
    <n v="1000"/>
    <n v="16"/>
    <s v="Médio"/>
    <x v="0"/>
    <n v="10500"/>
    <s v="Aprovado"/>
    <s v="Aprovado"/>
    <x v="75"/>
  </r>
  <r>
    <s v="Inativo"/>
    <s v="Jorah  Tyrell"/>
    <s v="000.000.229-00"/>
    <x v="27"/>
    <d v="1978-09-04T00:00:00"/>
    <s v="Porto Real"/>
    <s v="Terras da Coroa"/>
    <n v="12400"/>
    <n v="0"/>
    <n v="25"/>
    <s v="Médio"/>
    <x v="0"/>
    <n v="65500"/>
    <s v="Aprovado"/>
    <s v="Aprovado"/>
    <x v="4"/>
  </r>
  <r>
    <s v="Ativo"/>
    <s v="Jorah Dondarrion"/>
    <s v="000.000.210-00"/>
    <x v="41"/>
    <d v="1963-05-25T00:00:00"/>
    <s v="Pyke "/>
    <s v=" Ilhas de Ferro"/>
    <n v="10400"/>
    <n v="8500"/>
    <n v="39"/>
    <s v="Alto"/>
    <x v="0"/>
    <n v="36500"/>
    <s v="Aprovado"/>
    <s v="Aprovado"/>
    <x v="14"/>
  </r>
  <r>
    <s v="Inativo"/>
    <s v="Jorah Dondarrion"/>
    <s v="000.000.294-00"/>
    <x v="30"/>
    <d v="1986-10-08T00:00:00"/>
    <s v="Lannisporto"/>
    <s v="Oeste"/>
    <n v="22200"/>
    <n v="0"/>
    <n v="3"/>
    <s v="Baixo"/>
    <x v="2"/>
    <n v="7000"/>
    <s v="Aprovado"/>
    <s v="Aprovado"/>
    <x v="4"/>
  </r>
  <r>
    <s v="Ativo"/>
    <s v="Jorah Florent"/>
    <s v="000.000.204-00"/>
    <x v="12"/>
    <d v="1977-01-22T00:00:00"/>
    <s v="Porto Real"/>
    <s v="Terras da Coroa"/>
    <n v="28400"/>
    <n v="38500"/>
    <n v="26"/>
    <s v="Alto"/>
    <x v="0"/>
    <n v="51000"/>
    <s v="Aprovado"/>
    <s v="Aprovado"/>
    <x v="78"/>
  </r>
  <r>
    <s v="Ativo"/>
    <s v="Jorah Hightower"/>
    <s v="000.000.007-00"/>
    <x v="24"/>
    <d v="1982-04-28T00:00:00"/>
    <s v="Correrrio"/>
    <s v="terras fluviais"/>
    <n v="21700"/>
    <n v="34500"/>
    <n v="29"/>
    <s v="Alto"/>
    <x v="0"/>
    <n v="10500"/>
    <s v="Aprovado"/>
    <s v="Aprovado"/>
    <x v="75"/>
  </r>
  <r>
    <s v="Inativo"/>
    <s v="Jorah Hightower"/>
    <s v="000.000.346-00"/>
    <x v="29"/>
    <d v="1963-09-05T00:00:00"/>
    <s v="Pedra do Dragão"/>
    <s v="Terras da Coroa"/>
    <n v="0"/>
    <n v="0"/>
    <n v="1"/>
    <s v="Baixo"/>
    <x v="2"/>
    <n v="12000"/>
    <s v="Aprovado"/>
    <s v="Aprovado"/>
    <x v="4"/>
  </r>
  <r>
    <s v="Ativo"/>
    <s v="Jorah Marbrand"/>
    <s v="000.000.168-00"/>
    <x v="21"/>
    <d v="1988-09-28T00:00:00"/>
    <s v="Pedra do Dragão "/>
    <s v=" Terras da Coroa"/>
    <n v="12800"/>
    <n v="76500"/>
    <n v="30"/>
    <s v="Alto"/>
    <x v="0"/>
    <n v="18500"/>
    <s v="Aprovado"/>
    <s v="Aprovado"/>
    <x v="79"/>
  </r>
  <r>
    <s v="Ativo"/>
    <s v="Jorah Marbrand"/>
    <s v="000.000.168-00"/>
    <x v="21"/>
    <d v="1988-09-28T00:00:00"/>
    <s v="Pedra do Dragão "/>
    <s v=" Terras da Coroa"/>
    <n v="12800"/>
    <n v="76500"/>
    <n v="30"/>
    <s v="Alto"/>
    <x v="0"/>
    <n v="95000"/>
    <s v="Aprovado"/>
    <s v="Aprovado"/>
    <x v="67"/>
  </r>
  <r>
    <s v="Ativo"/>
    <s v="Jorah Marbrand"/>
    <s v="000.000.339-00"/>
    <x v="31"/>
    <d v="1972-09-16T00:00:00"/>
    <s v="Pedra do Dragão"/>
    <s v="Terras da Coroa"/>
    <n v="15500"/>
    <n v="0"/>
    <n v="16"/>
    <s v="Médio"/>
    <x v="0"/>
    <n v="41000"/>
    <s v="Aprovado"/>
    <s v="Aprovado"/>
    <x v="80"/>
  </r>
  <r>
    <s v="Ativo"/>
    <s v="Jorah Redwyne"/>
    <s v="00.000.016.5-00"/>
    <x v="21"/>
    <d v="1989-01-05T00:00:00"/>
    <s v="Monte Chifre"/>
    <s v="Campina"/>
    <n v="2600"/>
    <n v="0"/>
    <n v="5"/>
    <s v="Baixo"/>
    <x v="0"/>
    <n v="16500"/>
    <s v="Aprovado"/>
    <s v="Aprovado"/>
    <x v="81"/>
  </r>
  <r>
    <s v="Inativo"/>
    <s v="Jorah Redwyne"/>
    <s v="000.000.000-00"/>
    <x v="27"/>
    <d v="1978-06-22T00:00:00"/>
    <s v="Porto Real"/>
    <s v="Terras da Coroa"/>
    <n v="24700"/>
    <n v="30500"/>
    <n v="34"/>
    <s v="Alto"/>
    <x v="0"/>
    <n v="87500"/>
    <s v="Aprovado"/>
    <s v="Aprovado"/>
    <x v="4"/>
  </r>
  <r>
    <s v="Ativo"/>
    <s v="Jorah Seaworth"/>
    <s v="00.000.020.7-00"/>
    <x v="8"/>
    <d v="1960-08-23T00:00:00"/>
    <s v="Fosso Cailin "/>
    <s v=" Norte"/>
    <n v="28800"/>
    <n v="16000"/>
    <n v="44"/>
    <s v="Alto"/>
    <x v="2"/>
    <n v="59000"/>
    <s v="Negado"/>
    <s v="Negado"/>
    <x v="4"/>
  </r>
  <r>
    <s v="Ativo"/>
    <s v="Jorah Stark"/>
    <s v="000.000.021-00"/>
    <x v="5"/>
    <s v="20/12/1980"/>
    <s v="Braaavos"/>
    <s v="Essos"/>
    <n v="16200"/>
    <n v="59000"/>
    <n v="4"/>
    <s v="Baixo"/>
    <x v="0"/>
    <n v="73500"/>
    <s v="Aprovado"/>
    <s v="Aprovado"/>
    <x v="82"/>
  </r>
  <r>
    <s v="Ativo"/>
    <s v="Loras  Tarth"/>
    <s v="000.000.286-00"/>
    <x v="36"/>
    <d v="1983-05-01T00:00:00"/>
    <s v="Porto Real"/>
    <s v="Terras da Coroa"/>
    <n v="14600"/>
    <n v="18500"/>
    <n v="22"/>
    <s v="Médio"/>
    <x v="2"/>
    <n v="16500"/>
    <s v="Aprovado"/>
    <s v="Aprovado"/>
    <x v="81"/>
  </r>
  <r>
    <s v="Inativo"/>
    <s v="LORAS BAELISH"/>
    <s v="000.000.217-00"/>
    <x v="35"/>
    <d v="1958-01-20T00:00:00"/>
    <s v="Jardim de Cima"/>
    <s v="Campina"/>
    <n v="8200"/>
    <n v="66000"/>
    <n v="16"/>
    <s v="Médio"/>
    <x v="0"/>
    <n v="84000"/>
    <s v="Aprovado"/>
    <s v="Aprovado"/>
    <x v="4"/>
  </r>
  <r>
    <s v="Ativo"/>
    <s v="Loras Bracken"/>
    <s v="000.000.254-00"/>
    <x v="15"/>
    <d v="1975-04-21T00:00:00"/>
    <s v="Atalaia da Água Cinzenta "/>
    <s v=" Gargalo"/>
    <n v="7200"/>
    <n v="17500"/>
    <n v="40"/>
    <s v="Alto"/>
    <x v="2"/>
    <n v="5500"/>
    <s v="Negado"/>
    <s v="Negado"/>
    <x v="4"/>
  </r>
  <r>
    <s v="Ativo"/>
    <s v="Loras Clegane"/>
    <s v="000.000.287-00"/>
    <x v="52"/>
    <d v="1968-03-14T00:00:00"/>
    <s v="Harrenhal"/>
    <s v="terras fluviais"/>
    <n v="25400"/>
    <n v="70500"/>
    <n v="11"/>
    <s v="Médio"/>
    <x v="2"/>
    <n v="47000"/>
    <s v="Aprovado"/>
    <s v="Negado"/>
    <x v="83"/>
  </r>
  <r>
    <s v="Inativo"/>
    <s v="Loras Frey"/>
    <s v="000.000.017-00"/>
    <x v="39"/>
    <d v="1996-05-28T00:00:00"/>
    <s v="Jardim de Cima "/>
    <s v=" Campina"/>
    <n v="3900"/>
    <n v="45000"/>
    <n v="34"/>
    <s v="Alto"/>
    <x v="0"/>
    <n v="41500"/>
    <s v="Aprovado"/>
    <s v="Aprovado"/>
    <x v="4"/>
  </r>
  <r>
    <s v="Ativo"/>
    <s v="Loras Greyjoy"/>
    <s v="000.000.362-00"/>
    <x v="35"/>
    <d v="1957-11-21T00:00:00"/>
    <s v="Fosso Cailin"/>
    <s v="Norte"/>
    <n v="29000"/>
    <n v="67500"/>
    <n v="25"/>
    <s v="Médio"/>
    <x v="0"/>
    <n v="18000"/>
    <s v="Aprovado"/>
    <s v="Aprovado"/>
    <x v="66"/>
  </r>
  <r>
    <s v="Ativo"/>
    <s v="Loras Lannister"/>
    <s v="000.000.302-00"/>
    <x v="12"/>
    <d v="1976-11-03T00:00:00"/>
    <s v="Pyke"/>
    <s v="ILHAS DE FERRO"/>
    <n v="29800"/>
    <n v="54500"/>
    <n v="34"/>
    <s v="Alto"/>
    <x v="0"/>
    <n v="72000"/>
    <s v="Aprovado"/>
    <s v="Aprovado"/>
    <x v="22"/>
  </r>
  <r>
    <s v="Ativo"/>
    <s v="Loras Manderly"/>
    <s v="000.000.000-00"/>
    <x v="19"/>
    <d v="1988-01-10T00:00:00"/>
    <s v="Monte Chifre "/>
    <s v=" Campina"/>
    <n v="2000"/>
    <n v="60000"/>
    <n v="18"/>
    <s v="Médio"/>
    <x v="0"/>
    <n v="54000"/>
    <s v="Aprovado"/>
    <s v="Aprovado"/>
    <x v="84"/>
  </r>
  <r>
    <s v="Inativo"/>
    <s v="loras payne"/>
    <s v="000.000.027-00"/>
    <x v="39"/>
    <d v="1996-05-15T00:00:00"/>
    <s v="Braavos"/>
    <s v="Essos"/>
    <n v="26500"/>
    <n v="14500"/>
    <n v="15"/>
    <s v="Médio"/>
    <x v="0"/>
    <n v="65500"/>
    <s v="Aprovado"/>
    <s v="Aprovado"/>
    <x v="4"/>
  </r>
  <r>
    <s v="Inativo"/>
    <s v="loras payne"/>
    <s v="000.000.027-00"/>
    <x v="39"/>
    <d v="1996-05-15T00:00:00"/>
    <s v="Braavos"/>
    <s v="Essos"/>
    <n v="26500"/>
    <n v="14500"/>
    <n v="15"/>
    <s v="Médio"/>
    <x v="0"/>
    <n v="39000"/>
    <s v="Aprovado"/>
    <s v="Aprovado"/>
    <x v="4"/>
  </r>
  <r>
    <s v="Ativo"/>
    <s v="Lyanna Florent"/>
    <s v="00.000.006.3-00"/>
    <x v="35"/>
    <m/>
    <s v="Pedra do Dragão"/>
    <s v="Terras da Coroa"/>
    <n v="19900"/>
    <n v="35000"/>
    <n v="25"/>
    <s v="Médio"/>
    <x v="0"/>
    <n v="59500"/>
    <s v="Aprovado"/>
    <s v="Aprovado"/>
    <x v="85"/>
  </r>
  <r>
    <s v="Ativo"/>
    <s v="Lyanna Marbrand"/>
    <s v="000.000.283-00"/>
    <x v="42"/>
    <d v="1999-05-28T00:00:00"/>
    <s v="Correrrio"/>
    <s v="terras fluviais"/>
    <n v="5300"/>
    <n v="22000"/>
    <n v="11"/>
    <s v="Médio"/>
    <x v="0"/>
    <n v="28500"/>
    <s v="Aprovado"/>
    <s v="Aprovado"/>
    <x v="86"/>
  </r>
  <r>
    <s v="Ativo"/>
    <s v="Lyanna Marbrand"/>
    <s v="000.000.283-00"/>
    <x v="42"/>
    <d v="1999-05-28T00:00:00"/>
    <s v="Correrrio"/>
    <s v="terras fluviais"/>
    <n v="5300"/>
    <n v="22000"/>
    <n v="11"/>
    <s v="Médio"/>
    <x v="0"/>
    <n v="4500"/>
    <s v="Aprovado"/>
    <s v="Aprovado"/>
    <x v="34"/>
  </r>
  <r>
    <s v="Ativo"/>
    <s v="Lyanna Seaworth"/>
    <s v="000.000.041-00"/>
    <x v="1"/>
    <m/>
    <s v="Braavos"/>
    <s v="Essos"/>
    <n v="4500"/>
    <n v="0"/>
    <n v="32"/>
    <s v="Alto"/>
    <x v="2"/>
    <n v="56500"/>
    <s v="Negado"/>
    <s v="Negado"/>
    <x v="4"/>
  </r>
  <r>
    <s v="Ativo"/>
    <s v="Lyanna Stark"/>
    <s v="000.000.023-00"/>
    <x v="5"/>
    <d v="1981-07-02T00:00:00"/>
    <s v="Ponta Tempestade"/>
    <s v="Terras da Tempestade"/>
    <n v="24400"/>
    <n v="7500"/>
    <n v="13"/>
    <s v="Médio"/>
    <x v="0"/>
    <n v="95000"/>
    <s v="Aprovado"/>
    <s v="Aprovado"/>
    <x v="67"/>
  </r>
  <r>
    <s v="Ativo"/>
    <s v="Lyanna Swyft"/>
    <s v="00.000.018.0-00"/>
    <x v="17"/>
    <d v="1996-10-06T00:00:00"/>
    <s v="Ninho da Águia"/>
    <s v="Vale"/>
    <n v="19900"/>
    <n v="49500"/>
    <n v="27"/>
    <s v="Alto"/>
    <x v="2"/>
    <n v="23000"/>
    <s v="Negado"/>
    <s v="Negado"/>
    <x v="4"/>
  </r>
  <r>
    <s v="Ativo"/>
    <s v="Lyanna Tarly"/>
    <s v="000.000.232-00"/>
    <x v="34"/>
    <m/>
    <s v="Braavos"/>
    <s v="Essos"/>
    <n v="14500"/>
    <n v="39500"/>
    <n v="18"/>
    <s v="Médio"/>
    <x v="0"/>
    <n v="32000"/>
    <s v="Aprovado"/>
    <s v="Aprovado"/>
    <x v="36"/>
  </r>
  <r>
    <s v="Inativo"/>
    <s v="LYANNA TARTH"/>
    <s v="000.000.345-00"/>
    <x v="22"/>
    <m/>
    <s v="Castelo Negro"/>
    <s v="Norte"/>
    <n v="19900"/>
    <n v="47000"/>
    <n v="19"/>
    <s v="Médio"/>
    <x v="0"/>
    <n v="20500"/>
    <s v="Aprovado"/>
    <s v="Aprovado"/>
    <x v="4"/>
  </r>
  <r>
    <s v="Ativo"/>
    <s v="Lyanna Westerling"/>
    <s v="000.000.000-00"/>
    <x v="24"/>
    <d v="1982-02-09T00:00:00"/>
    <s v="Porto Real"/>
    <m/>
    <n v="6700"/>
    <n v="16500"/>
    <n v="38"/>
    <s v="Alto"/>
    <x v="2"/>
    <n v="15500"/>
    <s v="Negado"/>
    <s v="Negado"/>
    <x v="4"/>
  </r>
  <r>
    <s v="Ativo"/>
    <s v="Margaery  Hornwood"/>
    <s v="00.000.015.1-00"/>
    <x v="23"/>
    <d v="2001-08-22T00:00:00"/>
    <s v="Dorne"/>
    <s v="Dorne"/>
    <n v="2500"/>
    <n v="72500"/>
    <n v="32"/>
    <s v="Alto"/>
    <x v="0"/>
    <n v="97000"/>
    <s v="Aprovado"/>
    <s v="Aprovado"/>
    <x v="87"/>
  </r>
  <r>
    <s v="Inativo"/>
    <s v="Margaery Cerwyn"/>
    <s v="000.000.211-00"/>
    <x v="49"/>
    <d v="1995-02-08T00:00:00"/>
    <s v="Vilavelha"/>
    <s v="Campina"/>
    <n v="22600"/>
    <n v="58000"/>
    <n v="5"/>
    <s v="Baixo"/>
    <x v="0"/>
    <n v="26500"/>
    <s v="Aprovado"/>
    <s v="Aprovado"/>
    <x v="4"/>
  </r>
  <r>
    <s v="Ativo"/>
    <s v="Margaery Dayne"/>
    <s v="000.000.276-00"/>
    <x v="2"/>
    <d v="1989-10-10T00:00:00"/>
    <s v="Jardim de Cima"/>
    <s v="Campina"/>
    <n v="23900"/>
    <n v="58000"/>
    <n v="27"/>
    <s v="Alto"/>
    <x v="0"/>
    <n v="38000"/>
    <s v="Aprovado"/>
    <s v="Aprovado"/>
    <x v="88"/>
  </r>
  <r>
    <s v="Inativo"/>
    <s v="MARGAERY DONDARRION"/>
    <s v="000.000.000-00"/>
    <x v="14"/>
    <d v="1976-03-14T00:00:00"/>
    <s v="Correrrio "/>
    <s v=" Terras Fluviais"/>
    <n v="16200"/>
    <n v="25000"/>
    <n v="26"/>
    <s v="Alto"/>
    <x v="0"/>
    <n v="65000"/>
    <s v="Aprovado"/>
    <s v="Aprovado"/>
    <x v="4"/>
  </r>
  <r>
    <s v="Ativo"/>
    <s v="Margaery Manderly"/>
    <s v="000.000.222-00"/>
    <x v="41"/>
    <d v="1963-08-08T00:00:00"/>
    <s v="Winterfell"/>
    <s v="Norte"/>
    <n v="16800"/>
    <n v="0"/>
    <n v="32"/>
    <s v="Alto"/>
    <x v="1"/>
    <n v="61500"/>
    <s v="Aprovado"/>
    <s v="Aprovado"/>
    <x v="18"/>
  </r>
  <r>
    <s v="Ativo"/>
    <s v="Margaery Marbrand"/>
    <s v="000.000.146-00"/>
    <x v="51"/>
    <d v="2004-04-02T00:00:00"/>
    <s v="Ponta Tempestade"/>
    <s v="Terras da Tempestade"/>
    <n v="9200"/>
    <n v="5000"/>
    <n v="42"/>
    <s v="Alto"/>
    <x v="0"/>
    <n v="63500"/>
    <s v="Aprovado"/>
    <s v="Aprovado"/>
    <x v="89"/>
  </r>
  <r>
    <s v="Ativo"/>
    <s v="Margaery Redwyne"/>
    <n v="1800"/>
    <x v="37"/>
    <d v="2000-08-19T00:00:00"/>
    <s v="Monte Chifre"/>
    <s v="Campina"/>
    <n v="18400"/>
    <n v="0"/>
    <n v="31"/>
    <s v="Alto"/>
    <x v="2"/>
    <n v="89500"/>
    <s v="Negado"/>
    <s v="Negado"/>
    <x v="4"/>
  </r>
  <r>
    <s v="Ativo"/>
    <s v="Margaery Tarly"/>
    <s v="000.000.274-00"/>
    <x v="54"/>
    <d v="1992-01-21T00:00:00"/>
    <s v="Pyke"/>
    <s v="ILHAS DE FERRO"/>
    <n v="8000"/>
    <n v="14500"/>
    <n v="9"/>
    <s v="Baixo"/>
    <x v="2"/>
    <n v="17500"/>
    <s v="Aprovado"/>
    <s v="Aprovado"/>
    <x v="8"/>
  </r>
  <r>
    <s v="Inativo"/>
    <s v="Margaery Tyrell"/>
    <s v="000.000.107-00"/>
    <x v="49"/>
    <d v="1995-05-05T00:00:00"/>
    <s v="Solar do Entardecer"/>
    <s v="Terras da Tempestade"/>
    <n v="29500"/>
    <n v="5000"/>
    <n v="22"/>
    <s v="Médio"/>
    <x v="0"/>
    <n v="18000"/>
    <s v="Aprovado"/>
    <s v="Aprovado"/>
    <x v="4"/>
  </r>
  <r>
    <s v="Ativo"/>
    <s v="Meera Lannister"/>
    <s v="000.000.121-00"/>
    <x v="52"/>
    <s v="01/11/1967"/>
    <s v="Ninho da Águia"/>
    <s v="Vale"/>
    <n v="22200"/>
    <n v="0"/>
    <n v="42"/>
    <s v="Alto"/>
    <x v="0"/>
    <n v="33000"/>
    <s v="Aprovado"/>
    <s v="Aprovado"/>
    <x v="38"/>
  </r>
  <r>
    <s v="N/I"/>
    <s v="MEERA PAYNE"/>
    <s v="000.000.131-00"/>
    <x v="41"/>
    <d v="1962-11-24T00:00:00"/>
    <s v="Dorne"/>
    <s v="Dorne"/>
    <n v="14700"/>
    <n v="0"/>
    <n v="40"/>
    <s v="Alto"/>
    <x v="2"/>
    <n v="83500"/>
    <s v="Negado"/>
    <s v="Negado"/>
    <x v="4"/>
  </r>
  <r>
    <s v="Ativo"/>
    <s v="Meera Reed"/>
    <s v="000.000.314-00"/>
    <x v="31"/>
    <d v="1972-10-12T00:00:00"/>
    <s v="Fosso Cailin"/>
    <s v="Norte"/>
    <n v="12200"/>
    <n v="79500"/>
    <n v="45"/>
    <s v="Alto"/>
    <x v="0"/>
    <n v="57000"/>
    <s v="Aprovado"/>
    <s v="Aprovado"/>
    <x v="32"/>
  </r>
  <r>
    <s v="Ativo"/>
    <s v="Meera Reed"/>
    <s v="000.000.314-00"/>
    <x v="31"/>
    <d v="1972-10-12T00:00:00"/>
    <s v="Fosso Cailin"/>
    <s v="Norte"/>
    <n v="12200"/>
    <n v="79500"/>
    <n v="45"/>
    <s v="Alto"/>
    <x v="0"/>
    <n v="62000"/>
    <s v="Aprovado"/>
    <s v="Aprovado"/>
    <x v="44"/>
  </r>
  <r>
    <s v="Ativo"/>
    <s v="Meera Tarly"/>
    <s v="000.000.326-00"/>
    <x v="50"/>
    <d v="1952-06-23T00:00:00"/>
    <s v="Pyke"/>
    <s v="ILHAS DE FERRO"/>
    <n v="25000"/>
    <n v="0"/>
    <n v="3"/>
    <s v="Baixo"/>
    <x v="0"/>
    <n v="2500"/>
    <s v="Aprovado"/>
    <s v="Aprovado"/>
    <x v="90"/>
  </r>
  <r>
    <s v="Ativo"/>
    <s v="Melisandre  Baelish"/>
    <s v="000.000.152-00"/>
    <x v="1"/>
    <d v="1957-08-19T00:00:00"/>
    <s v="Ponta Tempestade"/>
    <s v="Terras da Tempestade"/>
    <n v="25100"/>
    <n v="40500"/>
    <n v="43"/>
    <s v="Alto"/>
    <x v="0"/>
    <n v="24500"/>
    <s v="Aprovado"/>
    <s v="Aprovado"/>
    <x v="54"/>
  </r>
  <r>
    <s v="Ativo"/>
    <s v="MELISANDRE BARATHEON"/>
    <s v="000.000.364-00"/>
    <x v="51"/>
    <m/>
    <s v="Meereen"/>
    <s v="Essos"/>
    <n v="14400"/>
    <n v="0"/>
    <n v="27"/>
    <s v="Alto"/>
    <x v="0"/>
    <n v="33500"/>
    <s v="Aprovado"/>
    <s v="Aprovado"/>
    <x v="60"/>
  </r>
  <r>
    <s v="Inativo"/>
    <s v="Melisandre Baratheon"/>
    <s v="000.000.020-00"/>
    <x v="52"/>
    <d v="1968-08-04T00:00:00"/>
    <s v="Porto Real"/>
    <s v="Terras da Coroa"/>
    <n v="4500"/>
    <n v="20000"/>
    <n v="9"/>
    <s v="Baixo"/>
    <x v="2"/>
    <n v="49000"/>
    <s v="Aprovado"/>
    <s v="Aprovado"/>
    <x v="4"/>
  </r>
  <r>
    <s v="Ativo"/>
    <s v="Melisandre Blackwood"/>
    <s v="000.000.051-00"/>
    <x v="55"/>
    <d v="1986-08-23T00:00:00"/>
    <s v="Fosso Cailin"/>
    <s v="Norte"/>
    <n v="18700"/>
    <n v="15000"/>
    <n v="26"/>
    <s v="Alto"/>
    <x v="1"/>
    <n v="89500"/>
    <s v="Aprovado"/>
    <s v="Aprovado"/>
    <x v="91"/>
  </r>
  <r>
    <s v="Ativo"/>
    <s v="Melisandre Cerwyn"/>
    <s v="000.000.120-00"/>
    <x v="17"/>
    <d v="1996-11-23T00:00:00"/>
    <s v="Atalaia da Água Cinzenta"/>
    <m/>
    <n v="6400"/>
    <n v="19500"/>
    <n v="30"/>
    <s v="Alto"/>
    <x v="0"/>
    <n v="51000"/>
    <s v="Aprovado"/>
    <s v="Aprovado"/>
    <x v="78"/>
  </r>
  <r>
    <s v="Inativo"/>
    <s v="Melisandre Clegane"/>
    <s v="000.000.231-00"/>
    <x v="31"/>
    <d v="1972-11-26T00:00:00"/>
    <s v="Ilha dos Ursos"/>
    <s v="Norte"/>
    <n v="16500"/>
    <n v="4000"/>
    <n v="14"/>
    <s v="Médio"/>
    <x v="0"/>
    <n v="36000"/>
    <s v="Aprovado"/>
    <s v="Aprovado"/>
    <x v="4"/>
  </r>
  <r>
    <s v="Ativo"/>
    <s v="Melisandre Crakehall"/>
    <s v="000.000.268-00"/>
    <x v="40"/>
    <d v="1965-12-24T00:00:00"/>
    <s v="Correrio"/>
    <s v="terras fluviais"/>
    <n v="9700"/>
    <n v="61000"/>
    <n v="9"/>
    <s v="Baixo"/>
    <x v="2"/>
    <n v="88000"/>
    <s v="Aprovado"/>
    <s v="Negado"/>
    <x v="92"/>
  </r>
  <r>
    <s v="Inativo"/>
    <s v="Melisandre Crakehall"/>
    <s v="000.000.260-00"/>
    <x v="49"/>
    <d v="1995-07-05T00:00:00"/>
    <s v="Pedra do Dragão"/>
    <s v="Terras da Coroa"/>
    <n v="16400"/>
    <n v="45500"/>
    <n v="6"/>
    <s v="Baixo"/>
    <x v="0"/>
    <n v="49500"/>
    <s v="Aprovado"/>
    <s v="Aprovado"/>
    <x v="4"/>
  </r>
  <r>
    <s v="Ativo"/>
    <s v="Melisandre Glover"/>
    <s v="000.000.329-00"/>
    <x v="51"/>
    <d v="2004-08-05T00:00:00"/>
    <s v="Ninho da Águia"/>
    <s v="Vale"/>
    <n v="10500"/>
    <n v="50500"/>
    <n v="16"/>
    <s v="Médio"/>
    <x v="0"/>
    <n v="41500"/>
    <s v="Aprovado"/>
    <s v="Aprovado"/>
    <x v="93"/>
  </r>
  <r>
    <s v="Ativo"/>
    <s v="MELISANDRE TARGARYEN"/>
    <s v="000.000.170-00"/>
    <x v="49"/>
    <d v="1995-06-02T00:00:00"/>
    <s v="Fosso Cailin "/>
    <s v=" Norte"/>
    <n v="20500"/>
    <n v="47500"/>
    <n v="11"/>
    <s v="Médio"/>
    <x v="0"/>
    <n v="18500"/>
    <s v="Aprovado"/>
    <s v="Aprovado"/>
    <x v="79"/>
  </r>
  <r>
    <s v="Ativo"/>
    <s v="Missandei  Tarly"/>
    <s v="000.000.196-00"/>
    <x v="52"/>
    <d v="1968-03-08T00:00:00"/>
    <s v="Meereen"/>
    <s v="Essos"/>
    <n v="12400"/>
    <n v="21500"/>
    <n v="24"/>
    <s v="Médio"/>
    <x v="2"/>
    <n v="80000"/>
    <s v="Aprovado"/>
    <s v="Aprovado"/>
    <x v="94"/>
  </r>
  <r>
    <s v="Ativo"/>
    <s v="Missandei Arryn"/>
    <s v="000.000.368-00"/>
    <x v="14"/>
    <d v="1975-12-01T00:00:00"/>
    <s v="Pedra do Dragão"/>
    <s v="Terras da Coroa"/>
    <n v="22800"/>
    <n v="70000"/>
    <n v="14"/>
    <s v="Médio"/>
    <x v="2"/>
    <n v="25500"/>
    <s v="Aprovado"/>
    <s v="Negado"/>
    <x v="95"/>
  </r>
  <r>
    <s v="Ativo"/>
    <s v="Missandei Florent"/>
    <s v="000.000.282-00"/>
    <x v="4"/>
    <d v="1970-04-13T00:00:00"/>
    <s v="Harrenhal"/>
    <s v="terras fluviais"/>
    <n v="28300"/>
    <n v="56000"/>
    <n v="6"/>
    <s v="Baixo"/>
    <x v="0"/>
    <n v="77000"/>
    <s v="Aprovado"/>
    <s v="Aprovado"/>
    <x v="96"/>
  </r>
  <r>
    <s v="Ativo"/>
    <s v="Missandei Florent"/>
    <s v="000.000.282-00"/>
    <x v="4"/>
    <d v="1970-04-13T00:00:00"/>
    <s v="Harrenhal"/>
    <s v="terras fluviais"/>
    <n v="28300"/>
    <n v="56000"/>
    <n v="6"/>
    <s v="Baixo"/>
    <x v="0"/>
    <n v="84500"/>
    <s v="Aprovado"/>
    <s v="Aprovado"/>
    <x v="97"/>
  </r>
  <r>
    <s v="Ativo"/>
    <s v="Missandei Glover"/>
    <s v="000.000.000-00"/>
    <x v="29"/>
    <d v="1963-09-24T00:00:00"/>
    <s v="Castelo Negro"/>
    <s v="Norte"/>
    <n v="17000"/>
    <n v="64000"/>
    <n v="21"/>
    <s v="Médio"/>
    <x v="2"/>
    <n v="19000"/>
    <s v="Aprovado"/>
    <s v="Negado"/>
    <x v="98"/>
  </r>
  <r>
    <s v="Inativo"/>
    <s v="Missandei Glover"/>
    <s v="000.000.000-00"/>
    <x v="19"/>
    <d v="1987-12-07T00:00:00"/>
    <s v="Ponta Tempestade"/>
    <s v="Terras da Tempestade"/>
    <n v="15800"/>
    <n v="14500"/>
    <n v="4"/>
    <s v="Baixo"/>
    <x v="0"/>
    <n v="21000"/>
    <s v="Aprovado"/>
    <s v="Aprovado"/>
    <x v="4"/>
  </r>
  <r>
    <s v="Ativo"/>
    <s v="Missandei Karstark"/>
    <s v="000.000.044-00"/>
    <x v="32"/>
    <d v="1983-12-16T00:00:00"/>
    <s v="Pedra do Dragão"/>
    <s v="Terras da Coroa"/>
    <n v="6000"/>
    <n v="55000"/>
    <n v="5"/>
    <s v="Baixo"/>
    <x v="0"/>
    <n v="10000"/>
    <s v="Aprovado"/>
    <s v="Aprovado"/>
    <x v="99"/>
  </r>
  <r>
    <s v="Ativo"/>
    <s v="missandei redwyne"/>
    <s v="000.000.111-00"/>
    <x v="0"/>
    <d v="1979-06-01T00:00:00"/>
    <s v="Meereen"/>
    <s v="Essos"/>
    <n v="5000"/>
    <n v="75500"/>
    <n v="2"/>
    <s v="Baixo"/>
    <x v="2"/>
    <n v="89500"/>
    <s v="Aprovado"/>
    <s v="Negado"/>
    <x v="91"/>
  </r>
  <r>
    <s v="Inativo"/>
    <s v="Missandei Tarly"/>
    <s v="00.000.000.2-00"/>
    <x v="3"/>
    <d v="1970-11-20T00:00:00"/>
    <s v="Ponta Tempestade"/>
    <s v="Terras da Tempestade"/>
    <n v="5300"/>
    <n v="6500"/>
    <n v="42"/>
    <s v="Alto"/>
    <x v="0"/>
    <n v="96000"/>
    <s v="Aprovado"/>
    <s v="Aprovado"/>
    <x v="4"/>
  </r>
  <r>
    <s v="Ativo"/>
    <s v="Olenna Arryn"/>
    <s v="000.000.000-00"/>
    <x v="12"/>
    <d v="1977-07-24T00:00:00"/>
    <s v="Braavos"/>
    <s v="Essos"/>
    <n v="11500"/>
    <n v="44500"/>
    <n v="45"/>
    <s v="Alto"/>
    <x v="0"/>
    <n v="3000"/>
    <s v="Aprovado"/>
    <s v="Aprovado"/>
    <x v="28"/>
  </r>
  <r>
    <s v="Ativo"/>
    <s v="Olenna Baelish"/>
    <s v="000.000.191-00"/>
    <x v="27"/>
    <d v="1978-06-06T00:00:00"/>
    <s v="Lannisporto"/>
    <m/>
    <n v="13200"/>
    <n v="3500"/>
    <n v="1"/>
    <s v="Baixo"/>
    <x v="0"/>
    <n v="32500"/>
    <s v="Aprovado"/>
    <s v="Aprovado"/>
    <x v="31"/>
  </r>
  <r>
    <s v="Ativo"/>
    <s v="Olenna Bracken"/>
    <s v="000.000.225-00"/>
    <x v="5"/>
    <d v="1981-01-12T00:00:00"/>
    <s v="Lannisporto"/>
    <s v="Oeste"/>
    <n v="22800"/>
    <n v="0"/>
    <n v="10"/>
    <s v="Baixo"/>
    <x v="0"/>
    <n v="31000"/>
    <s v="Aprovado"/>
    <s v="Aprovado"/>
    <x v="35"/>
  </r>
  <r>
    <s v="Ativo"/>
    <s v="olenna hornwood"/>
    <s v="000.000.000-00"/>
    <x v="46"/>
    <m/>
    <s v="Castelo Negro"/>
    <s v="Norte"/>
    <n v="21300"/>
    <n v="60500"/>
    <n v="15"/>
    <s v="Médio"/>
    <x v="1"/>
    <n v="74500"/>
    <s v="Aprovado"/>
    <s v="Aprovado"/>
    <x v="100"/>
  </r>
  <r>
    <s v="Ativo"/>
    <s v="Olenna Lannister"/>
    <s v="000.000.212-00"/>
    <x v="37"/>
    <s v="19/09/1999"/>
    <s v="Pedra do Dragão"/>
    <s v="Terras da Coroa"/>
    <n v="8900"/>
    <n v="72000"/>
    <n v="17"/>
    <s v="Médio"/>
    <x v="1"/>
    <n v="11000"/>
    <s v="Aprovado"/>
    <s v="Aprovado"/>
    <x v="101"/>
  </r>
  <r>
    <s v="Ativo"/>
    <s v="Olenna Reed"/>
    <s v="000.000.248-00"/>
    <x v="55"/>
    <d v="1985-12-27T00:00:00"/>
    <s v="Braavos "/>
    <s v=" Essos"/>
    <n v="17400"/>
    <n v="53000"/>
    <n v="20"/>
    <s v="Médio"/>
    <x v="2"/>
    <n v="52500"/>
    <s v="Aprovado"/>
    <s v="Negado"/>
    <x v="19"/>
  </r>
  <r>
    <s v="Ativo"/>
    <s v="Petyr Greyjoy"/>
    <s v="000.000.301-00"/>
    <x v="32"/>
    <d v="1984-08-04T00:00:00"/>
    <s v="Lannisporto"/>
    <m/>
    <n v="20800"/>
    <n v="54000"/>
    <n v="4"/>
    <s v="Baixo"/>
    <x v="0"/>
    <n v="73500"/>
    <s v="Aprovado"/>
    <s v="Aprovado"/>
    <x v="82"/>
  </r>
  <r>
    <s v="Inativo"/>
    <s v="Petyr Karstark"/>
    <s v="000.000.000-00"/>
    <x v="50"/>
    <d v="1952-08-28T00:00:00"/>
    <s v="Jardim de Cima"/>
    <s v="Campina"/>
    <n v="8900"/>
    <n v="4000"/>
    <n v="38"/>
    <s v="Alto"/>
    <x v="0"/>
    <n v="22500"/>
    <s v="Aprovado"/>
    <s v="Aprovado"/>
    <x v="4"/>
  </r>
  <r>
    <s v="Inativo"/>
    <s v="Petyr Mallister"/>
    <s v="000.000.000-00"/>
    <x v="2"/>
    <d v="1990-01-17T00:00:00"/>
    <s v="Correrrio"/>
    <s v="terras fluviais"/>
    <n v="28100"/>
    <n v="36500"/>
    <n v="13"/>
    <s v="Médio"/>
    <x v="0"/>
    <n v="5000"/>
    <s v="Aprovado"/>
    <s v="Aprovado"/>
    <x v="4"/>
  </r>
  <r>
    <s v="Ativo"/>
    <s v="Petyr Snow"/>
    <s v="000.000.000-00"/>
    <x v="33"/>
    <d v="1959-03-10T00:00:00"/>
    <s v="Ponta Tempestade"/>
    <s v="Terras da Tempestade"/>
    <n v="20200"/>
    <n v="6500"/>
    <n v="1"/>
    <s v="Baixo"/>
    <x v="0"/>
    <n v="98500"/>
    <s v="Aprovado"/>
    <s v="Aprovado"/>
    <x v="102"/>
  </r>
  <r>
    <s v="Ativo"/>
    <s v="Petyr Swyft"/>
    <s v="000.000.275-00"/>
    <x v="2"/>
    <d v="1990-09-01T00:00:00"/>
    <s v="Atalaia da Água Cinzenta"/>
    <s v="gargalo"/>
    <n v="11600"/>
    <n v="78500"/>
    <n v="1"/>
    <s v="Baixo"/>
    <x v="0"/>
    <n v="42000"/>
    <s v="Aprovado"/>
    <s v="Aprovado"/>
    <x v="103"/>
  </r>
  <r>
    <s v="Ativo"/>
    <s v="petyr yronwood"/>
    <s v="000.000.095-00"/>
    <x v="38"/>
    <d v="1965-08-10T00:00:00"/>
    <s v="Ilha dos Ursos"/>
    <s v="Norte"/>
    <n v="7000"/>
    <n v="1500"/>
    <n v="32"/>
    <s v="Alto"/>
    <x v="2"/>
    <n v="53000"/>
    <s v="Negado"/>
    <s v="Negado"/>
    <x v="4"/>
  </r>
  <r>
    <s v="Ativo"/>
    <s v="Podrick Blackwood"/>
    <s v="000.000.135-00"/>
    <x v="47"/>
    <d v="1994-03-18T00:00:00"/>
    <s v="Dorne"/>
    <s v="Dorne"/>
    <n v="0"/>
    <n v="0"/>
    <n v="20"/>
    <s v="Médio"/>
    <x v="0"/>
    <n v="42000"/>
    <s v="Aprovado"/>
    <s v="Aprovado"/>
    <x v="103"/>
  </r>
  <r>
    <s v="Inativo"/>
    <s v="Podrick Blackwood"/>
    <s v="000.000.000-00"/>
    <x v="49"/>
    <d v="1995-05-09T00:00:00"/>
    <s v="Porto Real"/>
    <s v="Terras da Coroa"/>
    <n v="24900"/>
    <n v="72000"/>
    <n v="35"/>
    <s v="Alto"/>
    <x v="0"/>
    <n v="79000"/>
    <s v="Aprovado"/>
    <s v="Aprovado"/>
    <x v="4"/>
  </r>
  <r>
    <s v="Ativo"/>
    <s v="Podrick Dayne"/>
    <s v="000.000.000-00"/>
    <x v="23"/>
    <d v="2000-11-01T00:00:00"/>
    <s v="Vilavelha"/>
    <s v="Campina"/>
    <n v="9400"/>
    <n v="51500"/>
    <n v="14"/>
    <s v="Médio"/>
    <x v="0"/>
    <n v="74000"/>
    <s v="Aprovado"/>
    <s v="Aprovado"/>
    <x v="104"/>
  </r>
  <r>
    <s v="Ativo"/>
    <s v="Podrick Dayne"/>
    <s v="00.000.022.3-00"/>
    <x v="23"/>
    <d v="2000-11-01T00:00:00"/>
    <s v="Vilavelha"/>
    <s v="Campina"/>
    <n v="9400"/>
    <n v="51500"/>
    <n v="14"/>
    <s v="Médio"/>
    <x v="0"/>
    <n v="29500"/>
    <s v="Aprovado"/>
    <s v="Aprovado"/>
    <x v="7"/>
  </r>
  <r>
    <s v="Ativo"/>
    <s v="Podrick Florent"/>
    <s v="000.000.354-00"/>
    <x v="40"/>
    <d v="1965-10-06T00:00:00"/>
    <s v="Winterfell"/>
    <s v="Norte"/>
    <n v="22900"/>
    <n v="4500"/>
    <n v="29"/>
    <s v="Alto"/>
    <x v="2"/>
    <n v="43500"/>
    <s v="Negado"/>
    <s v="Negado"/>
    <x v="4"/>
  </r>
  <r>
    <s v="Ativo"/>
    <s v="Podrick Stark"/>
    <s v="000.000.029-00"/>
    <x v="55"/>
    <s v="15/02/1986"/>
    <s v="Ilha dos Ursos "/>
    <s v=" Norte"/>
    <n v="21300"/>
    <n v="48500"/>
    <n v="6"/>
    <s v="Baixo"/>
    <x v="0"/>
    <n v="62500"/>
    <s v="Aprovado"/>
    <s v="Aprovado"/>
    <x v="105"/>
  </r>
  <r>
    <s v="Ativo"/>
    <s v="Podrick Swyft"/>
    <s v="000.000.090-00"/>
    <x v="47"/>
    <d v="1994-05-03T00:00:00"/>
    <s v="Correrrio"/>
    <s v="terras fluviais"/>
    <n v="21300"/>
    <n v="48000"/>
    <n v="11"/>
    <s v="Médio"/>
    <x v="0"/>
    <n v="35000"/>
    <s v="Aprovado"/>
    <s v="Aprovado"/>
    <x v="26"/>
  </r>
  <r>
    <s v="Ativo"/>
    <s v="Podrick Targaryen"/>
    <s v="000.000.050-00"/>
    <x v="30"/>
    <d v="1987-04-12T00:00:00"/>
    <s v="Vilavelha"/>
    <s v="Campina"/>
    <n v="29900"/>
    <n v="0"/>
    <n v="39"/>
    <s v="Alto"/>
    <x v="0"/>
    <n v="75000"/>
    <s v="Aprovado"/>
    <s v="Aprovado"/>
    <x v="106"/>
  </r>
  <r>
    <s v="Ativo"/>
    <s v="podrick umber"/>
    <n v="5300"/>
    <x v="4"/>
    <d v="1970-01-10T00:00:00"/>
    <s v="Pyke"/>
    <s v="ILHAS DE FERRO"/>
    <n v="14900"/>
    <n v="0"/>
    <n v="13"/>
    <s v="Médio"/>
    <x v="0"/>
    <n v="71000"/>
    <s v="Aprovado"/>
    <s v="Aprovado"/>
    <x v="107"/>
  </r>
  <r>
    <s v="Ativo"/>
    <s v="Ramsay Blackwood"/>
    <s v="000.000.035-00"/>
    <x v="45"/>
    <s v="04/07/1974"/>
    <s v="Jardim de Cima "/>
    <s v=" Campina"/>
    <n v="17500"/>
    <n v="6500"/>
    <n v="0"/>
    <s v="Baixo"/>
    <x v="0"/>
    <n v="42500"/>
    <s v="Aprovado"/>
    <s v="Aprovado"/>
    <x v="108"/>
  </r>
  <r>
    <s v="Ativo"/>
    <s v="Ramsay Dayne"/>
    <s v="000.000.224-00"/>
    <x v="3"/>
    <d v="1971-06-19T00:00:00"/>
    <s v="Ponta Tempestade"/>
    <s v="Terras da Tempestade"/>
    <n v="9600"/>
    <n v="43000"/>
    <n v="36"/>
    <s v="Alto"/>
    <x v="0"/>
    <n v="67500"/>
    <s v="Aprovado"/>
    <s v="Aprovado"/>
    <x v="109"/>
  </r>
  <r>
    <s v="Ativo"/>
    <s v="Ramsay Dondarrion"/>
    <s v="000.000.054-00"/>
    <x v="3"/>
    <d v="1970-11-02T00:00:00"/>
    <s v="Dorne"/>
    <s v="Dorne"/>
    <n v="29100"/>
    <n v="5500"/>
    <n v="11"/>
    <s v="Médio"/>
    <x v="0"/>
    <n v="56000"/>
    <s v="Aprovado"/>
    <s v="Aprovado"/>
    <x v="5"/>
  </r>
  <r>
    <s v="Ativo"/>
    <s v="Ramsay Hornwood"/>
    <s v="000.000.005-00"/>
    <x v="6"/>
    <d v="1960-11-16T00:00:00"/>
    <s v="Pyke"/>
    <s v="ILHAS DE FERRO"/>
    <n v="23400"/>
    <n v="28000"/>
    <n v="34"/>
    <s v="Alto"/>
    <x v="0"/>
    <n v="74000"/>
    <s v="Aprovado"/>
    <s v="Aprovado"/>
    <x v="104"/>
  </r>
  <r>
    <s v="Ativo"/>
    <s v="Ramsay Karstark"/>
    <s v="000.000.185-00"/>
    <x v="18"/>
    <s v="12/05/1991"/>
    <s v="Pedra do Dragão"/>
    <s v="Terras da Coroa"/>
    <n v="5600"/>
    <n v="69500"/>
    <n v="13"/>
    <s v="Médio"/>
    <x v="0"/>
    <n v="43500"/>
    <s v="Aprovado"/>
    <s v="Aprovado"/>
    <x v="110"/>
  </r>
  <r>
    <s v="Inativo"/>
    <s v="Ramsay Stark"/>
    <s v="000.000.169-00"/>
    <x v="38"/>
    <d v="1965-03-12T00:00:00"/>
    <s v="Braavos"/>
    <s v="Essos"/>
    <n v="26300"/>
    <n v="40000"/>
    <n v="10"/>
    <s v="Baixo"/>
    <x v="2"/>
    <n v="16500"/>
    <s v="Aprovado"/>
    <s v="Aprovado"/>
    <x v="4"/>
  </r>
  <r>
    <s v="Ativo"/>
    <s v="Ramsay Tarly"/>
    <s v="000.000.000-00"/>
    <x v="18"/>
    <d v="1991-07-21T00:00:00"/>
    <s v="Pyke"/>
    <s v="ILHAS DE FERRO"/>
    <n v="2000"/>
    <n v="5500"/>
    <n v="34"/>
    <s v="Alto"/>
    <x v="0"/>
    <n v="71000"/>
    <s v="Aprovado"/>
    <s v="Aprovado"/>
    <x v="107"/>
  </r>
  <r>
    <s v="Inativo"/>
    <s v="Renly Blackwood"/>
    <s v="000.000.106-00"/>
    <x v="25"/>
    <d v="2005-12-18T00:00:00"/>
    <s v="Solar do Entardecer"/>
    <s v="Terras da Tempestade"/>
    <n v="12900"/>
    <n v="26500"/>
    <n v="13"/>
    <s v="Médio"/>
    <x v="0"/>
    <n v="2000"/>
    <s v="Aprovado"/>
    <s v="Aprovado"/>
    <x v="4"/>
  </r>
  <r>
    <s v="Ativo"/>
    <s v="renly bolton"/>
    <s v="000.000.303-00"/>
    <x v="10"/>
    <m/>
    <s v="Castelo Negro"/>
    <s v="Norte"/>
    <n v="29300"/>
    <n v="32000"/>
    <n v="26"/>
    <s v="Alto"/>
    <x v="2"/>
    <n v="59000"/>
    <s v="Negado"/>
    <s v="Negado"/>
    <x v="4"/>
  </r>
  <r>
    <s v="Inativo"/>
    <s v="Renly Bolton"/>
    <s v="000.000.000-00"/>
    <x v="3"/>
    <d v="1971-05-22T00:00:00"/>
    <s v="Ninho da Águia"/>
    <s v="Vale"/>
    <n v="21100"/>
    <n v="67500"/>
    <n v="15"/>
    <s v="Médio"/>
    <x v="0"/>
    <n v="20000"/>
    <s v="Aprovado"/>
    <s v="Aprovado"/>
    <x v="4"/>
  </r>
  <r>
    <s v="Inativo"/>
    <s v="renly dayne"/>
    <s v="000.000.065-00"/>
    <x v="9"/>
    <d v="1953-11-09T00:00:00"/>
    <s v="Dorne"/>
    <s v="Dorne"/>
    <n v="21000"/>
    <n v="0"/>
    <n v="11"/>
    <s v="Médio"/>
    <x v="0"/>
    <n v="75500"/>
    <s v="Aprovado"/>
    <s v="Aprovado"/>
    <x v="4"/>
  </r>
  <r>
    <s v="Ativo"/>
    <s v="Renly Mallister"/>
    <s v="000.000.372-00"/>
    <x v="54"/>
    <d v="1991-10-14T00:00:00"/>
    <s v="Winterfell"/>
    <m/>
    <n v="28000"/>
    <n v="36500"/>
    <n v="33"/>
    <s v="Alto"/>
    <x v="0"/>
    <n v="60000"/>
    <s v="Aprovado"/>
    <s v="Aprovado"/>
    <x v="111"/>
  </r>
  <r>
    <s v="Ativo"/>
    <s v="RENLY MORMONT"/>
    <s v="000.000.376-00"/>
    <x v="44"/>
    <d v="1968-12-27T00:00:00"/>
    <s v="Vilavelha"/>
    <s v="Campina"/>
    <n v="20700"/>
    <n v="64500"/>
    <n v="19"/>
    <s v="Médio"/>
    <x v="0"/>
    <n v="54500"/>
    <s v="Aprovado"/>
    <s v="Aprovado"/>
    <x v="112"/>
  </r>
  <r>
    <s v="Inativo"/>
    <s v="Renly Redwyne"/>
    <s v="000.000.045-00"/>
    <x v="8"/>
    <d v="1960-02-08T00:00:00"/>
    <s v="Porto Real"/>
    <s v="Terras da Coroa"/>
    <n v="3400"/>
    <n v="78000"/>
    <n v="9"/>
    <s v="Baixo"/>
    <x v="0"/>
    <n v="51500"/>
    <s v="Aprovado"/>
    <s v="Aprovado"/>
    <x v="4"/>
  </r>
  <r>
    <s v="Ativo"/>
    <s v="Renly Seaworth"/>
    <s v="000.000.000-00"/>
    <x v="28"/>
    <d v="2007-09-17T00:00:00"/>
    <s v="Vilavelha"/>
    <s v="Campina"/>
    <n v="28900"/>
    <n v="22000"/>
    <n v="23"/>
    <s v="Médio"/>
    <x v="0"/>
    <n v="90000"/>
    <s v="Aprovado"/>
    <s v="Aprovado"/>
    <x v="71"/>
  </r>
  <r>
    <s v="Ativo"/>
    <s v="RENLY STARK"/>
    <s v="000.000.000-00"/>
    <x v="24"/>
    <d v="1982-05-10T00:00:00"/>
    <s v="Braavos"/>
    <s v="Essos"/>
    <n v="9600"/>
    <n v="66000"/>
    <n v="11"/>
    <s v="Médio"/>
    <x v="1"/>
    <n v="4500"/>
    <s v="Aprovado"/>
    <s v="Aprovado"/>
    <x v="34"/>
  </r>
  <r>
    <s v="Inativo"/>
    <s v="Renly Tallhart"/>
    <s v="000.000.000-00"/>
    <x v="42"/>
    <d v="1998-12-22T00:00:00"/>
    <s v="Winterfell"/>
    <s v="Norte"/>
    <n v="25900"/>
    <n v="0"/>
    <n v="10"/>
    <s v="Baixo"/>
    <x v="2"/>
    <n v="5000"/>
    <s v="Aprovado"/>
    <s v="Aprovado"/>
    <x v="4"/>
  </r>
  <r>
    <s v="Ativo"/>
    <s v="Rhaegar Dayne"/>
    <s v="000.000.335-00"/>
    <x v="18"/>
    <d v="1991-03-12T00:00:00"/>
    <s v="Correrrio"/>
    <s v="terras fluviais"/>
    <n v="28500"/>
    <n v="48500"/>
    <n v="24"/>
    <s v="Médio"/>
    <x v="0"/>
    <n v="80500"/>
    <s v="Aprovado"/>
    <s v="Aprovado"/>
    <x v="113"/>
  </r>
  <r>
    <s v="Ativo"/>
    <s v="Rhaegar Hornwood"/>
    <s v="000.000.178-00"/>
    <x v="39"/>
    <d v="1996-02-14T00:00:00"/>
    <s v="Ponta Tempestade"/>
    <s v="Terras da Tempestade"/>
    <n v="2600"/>
    <n v="62000"/>
    <n v="22"/>
    <s v="Médio"/>
    <x v="0"/>
    <n v="62000"/>
    <s v="Aprovado"/>
    <s v="Aprovado"/>
    <x v="44"/>
  </r>
  <r>
    <s v="Ativo"/>
    <s v="Rhaegar Lannister"/>
    <s v="000.000.000-00"/>
    <x v="10"/>
    <d v="2002-02-03T00:00:00"/>
    <s v="Jardim de Cima"/>
    <s v="Campina"/>
    <n v="6400"/>
    <n v="41000"/>
    <n v="22"/>
    <s v="Médio"/>
    <x v="0"/>
    <n v="74500"/>
    <s v="Aprovado"/>
    <s v="Aprovado"/>
    <x v="100"/>
  </r>
  <r>
    <s v="Ativo"/>
    <s v="Rhaegar Mormont"/>
    <s v="000.000.109-00"/>
    <x v="43"/>
    <d v="1962-07-18T00:00:00"/>
    <s v="Fosso Cailin"/>
    <s v="Norte"/>
    <n v="12700"/>
    <n v="0"/>
    <n v="21"/>
    <s v="Médio"/>
    <x v="0"/>
    <n v="50500"/>
    <s v="Aprovado"/>
    <s v="Aprovado"/>
    <x v="114"/>
  </r>
  <r>
    <s v="Ativo"/>
    <s v="Rhaegar Payne"/>
    <s v="000.000.253-00"/>
    <x v="40"/>
    <d v="1966-06-14T00:00:00"/>
    <s v="Monte Chifre"/>
    <s v="Campina"/>
    <n v="17300"/>
    <n v="15000"/>
    <n v="17"/>
    <s v="Médio"/>
    <x v="0"/>
    <n v="69000"/>
    <s v="Aprovado"/>
    <s v="Aprovado"/>
    <x v="57"/>
  </r>
  <r>
    <s v="Inativo"/>
    <s v="rhaegar stark"/>
    <s v="000.000.119-00"/>
    <x v="16"/>
    <d v="1993-04-23T00:00:00"/>
    <s v="Meereen"/>
    <s v="Essos"/>
    <n v="23600"/>
    <n v="75500"/>
    <n v="16"/>
    <s v="Médio"/>
    <x v="0"/>
    <n v="88000"/>
    <s v="Aprovado"/>
    <s v="Aprovado"/>
    <x v="4"/>
  </r>
  <r>
    <s v="Ativo"/>
    <s v="Rhaegar Tallhart"/>
    <s v="000.000.000-00"/>
    <x v="37"/>
    <d v="2000-03-11T00:00:00"/>
    <s v="Ilha dos Ursos"/>
    <s v="Norte"/>
    <n v="3500"/>
    <n v="50000"/>
    <n v="40"/>
    <s v="Alto"/>
    <x v="0"/>
    <n v="46500"/>
    <s v="Aprovado"/>
    <s v="Aprovado"/>
    <x v="43"/>
  </r>
  <r>
    <s v="Ativo"/>
    <s v="Rhaegar Targaryen"/>
    <s v="000.000.342-00"/>
    <x v="15"/>
    <d v="1975-01-19T00:00:00"/>
    <s v="Fosso Cailin"/>
    <s v="Norte"/>
    <n v="18500"/>
    <n v="69500"/>
    <n v="31"/>
    <s v="Alto"/>
    <x v="0"/>
    <n v="18000"/>
    <s v="Aprovado"/>
    <s v="Aprovado"/>
    <x v="66"/>
  </r>
  <r>
    <s v="Ativo"/>
    <s v="Rhaegar Umber"/>
    <s v="000.000.247-00"/>
    <x v="7"/>
    <d v="2007-05-18T00:00:00"/>
    <s v="Vilavelha"/>
    <s v="Campina"/>
    <n v="18000"/>
    <n v="50500"/>
    <n v="11"/>
    <s v="Médio"/>
    <x v="2"/>
    <n v="26000"/>
    <s v="Aprovado"/>
    <s v="Negado"/>
    <x v="115"/>
  </r>
  <r>
    <s v="Ativo"/>
    <s v="Rickon Crakehall"/>
    <s v="000.000.066-00"/>
    <x v="10"/>
    <d v="2002-06-28T00:00:00"/>
    <s v="Atalaia da Água Cinzenta"/>
    <s v="gargalo"/>
    <n v="6100"/>
    <n v="0"/>
    <n v="15"/>
    <s v="Médio"/>
    <x v="0"/>
    <n v="67000"/>
    <s v="Aprovado"/>
    <s v="Aprovado"/>
    <x v="55"/>
  </r>
  <r>
    <s v="Ativo"/>
    <s v="Rickon Frey"/>
    <s v="000.000.013-00"/>
    <x v="40"/>
    <d v="1966-04-05T00:00:00"/>
    <s v="Solar do Entardecer"/>
    <s v="Terras da Tempestade"/>
    <n v="5500"/>
    <n v="0"/>
    <n v="26"/>
    <s v="Alto"/>
    <x v="0"/>
    <n v="52500"/>
    <s v="Aprovado"/>
    <s v="Aprovado"/>
    <x v="19"/>
  </r>
  <r>
    <s v="Ativo"/>
    <s v="Rickon Hornwood"/>
    <s v="000.000.078-00"/>
    <x v="18"/>
    <d v="1991-03-09T00:00:00"/>
    <s v="Ponta Tempestade"/>
    <s v="Terras da Tempestade"/>
    <n v="9700"/>
    <n v="0"/>
    <n v="20"/>
    <s v="Médio"/>
    <x v="0"/>
    <n v="31000"/>
    <s v="Aprovado"/>
    <s v="Aprovado"/>
    <x v="35"/>
  </r>
  <r>
    <s v="Ativo"/>
    <s v="Rickon Karstark"/>
    <s v="000.000.000-00"/>
    <x v="37"/>
    <d v="2000-02-17T00:00:00"/>
    <s v="Castelo Negro "/>
    <s v=" Norte"/>
    <n v="4800"/>
    <n v="48500"/>
    <n v="6"/>
    <s v="Baixo"/>
    <x v="2"/>
    <n v="56500"/>
    <s v="Aprovado"/>
    <s v="Aprovado"/>
    <x v="116"/>
  </r>
  <r>
    <s v="Ativo"/>
    <s v="Rickon Karstark"/>
    <s v="000.000.088-00"/>
    <x v="50"/>
    <d v="1952-05-07T00:00:00"/>
    <s v="Castelo Negro"/>
    <s v="Norte"/>
    <n v="7300"/>
    <n v="1000"/>
    <n v="3"/>
    <s v="Baixo"/>
    <x v="0"/>
    <n v="50500"/>
    <s v="Aprovado"/>
    <s v="Aprovado"/>
    <x v="114"/>
  </r>
  <r>
    <s v="Ativo"/>
    <s v="Rickon Karstark"/>
    <s v="000.000.000-00"/>
    <x v="18"/>
    <d v="1991-08-23T00:00:00"/>
    <s v="Atalaia da Água Cinzenta"/>
    <s v="gargalo"/>
    <n v="24000"/>
    <n v="0"/>
    <n v="3"/>
    <s v="Baixo"/>
    <x v="2"/>
    <n v="60000"/>
    <s v="Aprovado"/>
    <s v="Aprovado"/>
    <x v="111"/>
  </r>
  <r>
    <s v="Ativo"/>
    <s v="Rickon Lannister"/>
    <s v="000.000.197-00"/>
    <x v="31"/>
    <d v="1973-08-22T00:00:00"/>
    <s v="Fosso Cailin"/>
    <s v="Norte"/>
    <n v="27100"/>
    <n v="68000"/>
    <n v="40"/>
    <s v="Alto"/>
    <x v="0"/>
    <n v="49500"/>
    <s v="Aprovado"/>
    <s v="Aprovado"/>
    <x v="117"/>
  </r>
  <r>
    <s v="Ativo"/>
    <s v="Rickon Redwyne"/>
    <s v="00.000.015.0-00"/>
    <x v="22"/>
    <d v="1953-08-17T00:00:00"/>
    <s v="Fosso Cailin"/>
    <s v="Norte"/>
    <n v="28600"/>
    <n v="40500"/>
    <n v="20"/>
    <s v="Médio"/>
    <x v="0"/>
    <n v="2500"/>
    <s v="Aprovado"/>
    <s v="Aprovado"/>
    <x v="90"/>
  </r>
  <r>
    <s v="Ativo"/>
    <s v="Rickon Targaryen"/>
    <s v="000.000.298-00"/>
    <x v="7"/>
    <d v="2006-10-13T00:00:00"/>
    <s v="Ilha dos Ursos"/>
    <s v="Norte"/>
    <n v="4000"/>
    <n v="29500"/>
    <n v="13"/>
    <s v="Médio"/>
    <x v="2"/>
    <n v="5000"/>
    <s v="Aprovado"/>
    <s v="Aprovado"/>
    <x v="118"/>
  </r>
  <r>
    <s v="Ativo"/>
    <s v="Robb Baratheon"/>
    <s v="000.000.365-00"/>
    <x v="48"/>
    <d v="1972-03-24T00:00:00"/>
    <s v="Ponta Tempestade"/>
    <s v="Terras da Tempestade"/>
    <n v="22100"/>
    <n v="37000"/>
    <n v="34"/>
    <s v="Alto"/>
    <x v="0"/>
    <n v="87000"/>
    <s v="Aprovado"/>
    <s v="Aprovado"/>
    <x v="40"/>
  </r>
  <r>
    <s v="Ativo"/>
    <s v="Robb Clegane"/>
    <s v="000.000.304-00"/>
    <x v="28"/>
    <d v="2007-09-13T00:00:00"/>
    <s v="Fosso Cailin"/>
    <s v="Norte"/>
    <n v="14100"/>
    <n v="38500"/>
    <n v="7"/>
    <s v="Baixo"/>
    <x v="0"/>
    <n v="11000"/>
    <s v="Aprovado"/>
    <s v="Aprovado"/>
    <x v="101"/>
  </r>
  <r>
    <s v="Ativo"/>
    <s v="Robb Greyjoy"/>
    <s v="000.000.227-00"/>
    <x v="23"/>
    <d v="2001-06-14T00:00:00"/>
    <s v="Fosso Cailin"/>
    <s v="Norte"/>
    <n v="25400"/>
    <n v="4000"/>
    <n v="4"/>
    <s v="Baixo"/>
    <x v="0"/>
    <n v="8500"/>
    <s v="Aprovado"/>
    <s v="Aprovado"/>
    <x v="119"/>
  </r>
  <r>
    <s v="Ativo"/>
    <s v="Robb Reed"/>
    <s v="000.000.246-00"/>
    <x v="17"/>
    <d v="1997-06-19T00:00:00"/>
    <s v="Harrenhal"/>
    <s v="terras fluviais"/>
    <n v="9600"/>
    <n v="41000"/>
    <n v="27"/>
    <s v="Alto"/>
    <x v="0"/>
    <n v="25000"/>
    <s v="Aprovado"/>
    <s v="Aprovado"/>
    <x v="33"/>
  </r>
  <r>
    <s v="Ativo"/>
    <s v="Robb Stark"/>
    <s v="000.000.228-00"/>
    <x v="6"/>
    <d v="1961-08-12T00:00:00"/>
    <s v="Ilha dos Ursos"/>
    <s v="Norte"/>
    <n v="29000"/>
    <n v="28500"/>
    <n v="28"/>
    <s v="Alto"/>
    <x v="0"/>
    <n v="57500"/>
    <s v="Aprovado"/>
    <s v="Aprovado"/>
    <x v="120"/>
  </r>
  <r>
    <s v="Ativo"/>
    <s v="ROBERT CERWYN"/>
    <s v="000.000.000-00"/>
    <x v="27"/>
    <d v="1978-01-19T00:00:00"/>
    <s v="Harrenhal"/>
    <s v="terras fluviais"/>
    <n v="17800"/>
    <n v="9000"/>
    <n v="28"/>
    <s v="Alto"/>
    <x v="0"/>
    <n v="80000"/>
    <s v="Aprovado"/>
    <s v="Aprovado"/>
    <x v="94"/>
  </r>
  <r>
    <s v="Ativo"/>
    <s v="Robert Hornwood"/>
    <s v="000.000.259-00"/>
    <x v="22"/>
    <d v="1953-01-04T00:00:00"/>
    <s v="Jardim de Cima"/>
    <s v="Campina"/>
    <n v="23000"/>
    <n v="19000"/>
    <n v="0"/>
    <s v="Baixo"/>
    <x v="0"/>
    <n v="17000"/>
    <s v="Aprovado"/>
    <s v="Aprovado"/>
    <x v="121"/>
  </r>
  <r>
    <s v="Ativo"/>
    <s v="Robert Hornwood"/>
    <s v="000.000.000-00"/>
    <x v="53"/>
    <d v="1985-03-09T00:00:00"/>
    <s v="Castelo Negro"/>
    <s v="Norte"/>
    <n v="23100"/>
    <n v="36000"/>
    <n v="19"/>
    <s v="Médio"/>
    <x v="0"/>
    <n v="37500"/>
    <s v="Aprovado"/>
    <s v="Aprovado"/>
    <x v="69"/>
  </r>
  <r>
    <s v="Ativo"/>
    <s v="Robert Karstark"/>
    <s v="000.000.184-00"/>
    <x v="35"/>
    <d v="1958-07-12T00:00:00"/>
    <s v="Meereen"/>
    <m/>
    <n v="14300"/>
    <n v="32500"/>
    <n v="15"/>
    <s v="Médio"/>
    <x v="2"/>
    <n v="8000"/>
    <s v="Aprovado"/>
    <s v="Aprovado"/>
    <x v="122"/>
  </r>
  <r>
    <s v="Ativo"/>
    <s v="robert mallister"/>
    <s v="000.000.037-00"/>
    <x v="23"/>
    <d v="2000-10-25T00:00:00"/>
    <s v="Castelo Negro"/>
    <s v="Norte"/>
    <n v="18300"/>
    <n v="41000"/>
    <n v="9"/>
    <s v="Baixo"/>
    <x v="0"/>
    <n v="32500"/>
    <s v="Aprovado"/>
    <s v="Aprovado"/>
    <x v="31"/>
  </r>
  <r>
    <s v="Inativo"/>
    <s v="Robert Mallister"/>
    <s v="000.000.000-00"/>
    <x v="44"/>
    <d v="1969-06-15T00:00:00"/>
    <s v="Braavos"/>
    <s v="Essos"/>
    <n v="28600"/>
    <n v="73500"/>
    <n v="29"/>
    <s v="Alto"/>
    <x v="0"/>
    <n v="93500"/>
    <s v="Aprovado"/>
    <s v="Aprovado"/>
    <x v="4"/>
  </r>
  <r>
    <s v="Inativo"/>
    <s v="Robert Manderly"/>
    <s v="000.000.000-00"/>
    <x v="31"/>
    <d v="1973-03-21T00:00:00"/>
    <s v="Pyke"/>
    <s v="ILHAS DE FERRO"/>
    <n v="26400"/>
    <n v="9500"/>
    <n v="21"/>
    <s v="Médio"/>
    <x v="0"/>
    <n v="16000"/>
    <s v="Aprovado"/>
    <s v="Aprovado"/>
    <x v="4"/>
  </r>
  <r>
    <s v="Inativo"/>
    <s v="Robert Payne"/>
    <s v="000.000.068-00"/>
    <x v="44"/>
    <s v="05/11/1968"/>
    <s v="Monte Chifre"/>
    <s v="Campina"/>
    <n v="26300"/>
    <n v="75500"/>
    <n v="25"/>
    <s v="Médio"/>
    <x v="2"/>
    <n v="44000"/>
    <s v="Aprovado"/>
    <s v="Negado"/>
    <x v="4"/>
  </r>
  <r>
    <s v="Ativo"/>
    <s v="Robert Stark"/>
    <s v="000.000.315-00"/>
    <x v="44"/>
    <d v="1969-05-27T00:00:00"/>
    <s v="Harrenhal"/>
    <s v="terras fluviais"/>
    <n v="20600"/>
    <n v="52500"/>
    <n v="16"/>
    <s v="Médio"/>
    <x v="1"/>
    <n v="97000"/>
    <s v="Aprovado"/>
    <s v="Aprovado"/>
    <x v="87"/>
  </r>
  <r>
    <s v="Ativo"/>
    <s v="Robert Tarth"/>
    <s v="000.000.001-00"/>
    <x v="42"/>
    <d v="1999-05-08T00:00:00"/>
    <s v="Winterfell"/>
    <s v="Norte"/>
    <n v="29700"/>
    <n v="12000"/>
    <n v="37"/>
    <s v="Alto"/>
    <x v="0"/>
    <n v="49000"/>
    <s v="Aprovado"/>
    <s v="Aprovado"/>
    <x v="123"/>
  </r>
  <r>
    <s v="Ativo"/>
    <s v="Robert Westerling"/>
    <s v="000.000.105-00"/>
    <x v="23"/>
    <d v="2001-08-15T00:00:00"/>
    <s v="Jardim de Cima"/>
    <s v="Campina"/>
    <n v="27300"/>
    <n v="1500"/>
    <n v="33"/>
    <s v="Alto"/>
    <x v="2"/>
    <n v="14000"/>
    <s v="Negado"/>
    <s v="Negado"/>
    <x v="4"/>
  </r>
  <r>
    <s v="Ativo"/>
    <s v="Robert Yronwood"/>
    <s v="000.000.075-00"/>
    <x v="33"/>
    <d v="1959-03-15T00:00:00"/>
    <s v="Winterfell"/>
    <s v="Norte"/>
    <n v="8500"/>
    <n v="39500"/>
    <n v="0"/>
    <s v="Baixo"/>
    <x v="2"/>
    <n v="42000"/>
    <s v="Aprovado"/>
    <s v="Aprovado"/>
    <x v="103"/>
  </r>
  <r>
    <s v="Ativo"/>
    <s v="Roose Baelish"/>
    <s v="000.000.366-00"/>
    <x v="34"/>
    <d v="1998-06-02T00:00:00"/>
    <s v="Harrenhal "/>
    <s v=" Terras Fluviais"/>
    <n v="14600"/>
    <n v="23000"/>
    <n v="22"/>
    <s v="Médio"/>
    <x v="2"/>
    <n v="99000"/>
    <s v="Aprovado"/>
    <s v="Aprovado"/>
    <x v="0"/>
  </r>
  <r>
    <s v="Ativo"/>
    <s v="Roose Bolton"/>
    <s v="000.000.000-00"/>
    <x v="22"/>
    <d v="1952-11-25T00:00:00"/>
    <s v="Atalaia da Água Cinzenta"/>
    <s v="gargalo"/>
    <n v="18100"/>
    <n v="0"/>
    <n v="36"/>
    <s v="Alto"/>
    <x v="0"/>
    <n v="89000"/>
    <s v="Aprovado"/>
    <s v="Aprovado"/>
    <x v="1"/>
  </r>
  <r>
    <s v="Ativo"/>
    <s v="Roose Bracken"/>
    <s v="000.000.000-00"/>
    <x v="36"/>
    <d v="1983-02-08T00:00:00"/>
    <s v="Ilha dos Ursos"/>
    <s v="Norte"/>
    <n v="21700"/>
    <n v="31000"/>
    <n v="27"/>
    <s v="Alto"/>
    <x v="0"/>
    <n v="45500"/>
    <s v="Aprovado"/>
    <s v="Aprovado"/>
    <x v="21"/>
  </r>
  <r>
    <s v="Inativo"/>
    <s v="Roose Cerwyn"/>
    <s v="000.000.000-00"/>
    <x v="47"/>
    <d v="1994-02-22T00:00:00"/>
    <s v="Castelo Negro"/>
    <s v="Norte"/>
    <n v="20500"/>
    <n v="0"/>
    <n v="41"/>
    <s v="Alto"/>
    <x v="0"/>
    <n v="54500"/>
    <s v="Aprovado"/>
    <s v="Aprovado"/>
    <x v="4"/>
  </r>
  <r>
    <s v="Inativo"/>
    <s v="Roose Cerwyn"/>
    <s v="000.000.047-00"/>
    <x v="41"/>
    <d v="1963-03-14T00:00:00"/>
    <s v="Vilavelha"/>
    <s v="Campina"/>
    <n v="17300"/>
    <n v="22000"/>
    <n v="10"/>
    <s v="Baixo"/>
    <x v="0"/>
    <n v="97000"/>
    <s v="Aprovado"/>
    <s v="Aprovado"/>
    <x v="4"/>
  </r>
  <r>
    <s v="Ativo"/>
    <s v="Roose Dondarrion"/>
    <s v="000.000.126-00"/>
    <x v="31"/>
    <d v="1972-11-17T00:00:00"/>
    <s v="Ninho da Águia"/>
    <s v="Vale"/>
    <n v="21300"/>
    <n v="79500"/>
    <n v="18"/>
    <s v="Médio"/>
    <x v="0"/>
    <n v="19000"/>
    <s v="Aprovado"/>
    <s v="Aprovado"/>
    <x v="98"/>
  </r>
  <r>
    <s v="Inativo"/>
    <s v="Roose Frey"/>
    <s v="000.000.292-00"/>
    <x v="29"/>
    <d v="1963-12-13T00:00:00"/>
    <s v="Jardim de Cima"/>
    <s v="Campina"/>
    <n v="14600"/>
    <n v="15500"/>
    <n v="2"/>
    <s v="Baixo"/>
    <x v="1"/>
    <n v="2500"/>
    <s v="Aprovado"/>
    <s v="Aprovado"/>
    <x v="4"/>
  </r>
  <r>
    <s v="Ativo"/>
    <s v="Roose Manderly"/>
    <s v="00.000.015.4-00"/>
    <x v="32"/>
    <d v="1983-11-22T00:00:00"/>
    <s v="Dorne"/>
    <s v="Dorne"/>
    <n v="0"/>
    <n v="19500"/>
    <n v="42"/>
    <s v="Alto"/>
    <x v="0"/>
    <n v="89500"/>
    <s v="Aprovado"/>
    <s v="Aprovado"/>
    <x v="91"/>
  </r>
  <r>
    <s v="Inativo"/>
    <s v="Samwell Glover"/>
    <s v="000.000.000-00"/>
    <x v="22"/>
    <d v="1952-11-01T00:00:00"/>
    <s v="Ponta Tempestade"/>
    <s v="Terras da Tempestade"/>
    <n v="7100"/>
    <n v="58000"/>
    <n v="22"/>
    <s v="Médio"/>
    <x v="2"/>
    <n v="46500"/>
    <s v="Aprovado"/>
    <s v="Negado"/>
    <x v="4"/>
  </r>
  <r>
    <s v="Ativo"/>
    <s v="samwell yronwood"/>
    <s v="000.000.124-00"/>
    <x v="17"/>
    <d v="1996-09-15T00:00:00"/>
    <s v="Jardim de Cima"/>
    <s v="Campina"/>
    <n v="21200"/>
    <n v="75000"/>
    <n v="6"/>
    <s v="Baixo"/>
    <x v="0"/>
    <n v="63500"/>
    <s v="Aprovado"/>
    <s v="Aprovado"/>
    <x v="89"/>
  </r>
  <r>
    <s v="Ativo"/>
    <s v="Sandor Clegane"/>
    <s v="000.000.164-00"/>
    <x v="29"/>
    <d v="1963-11-02T00:00:00"/>
    <s v="Winterfell"/>
    <s v="Norte"/>
    <n v="10500"/>
    <n v="0"/>
    <n v="4"/>
    <s v="Baixo"/>
    <x v="2"/>
    <n v="54500"/>
    <s v="Aprovado"/>
    <s v="Aprovado"/>
    <x v="112"/>
  </r>
  <r>
    <s v="Ativo"/>
    <s v="Sandor Dondarrion"/>
    <s v="000.000.000-00"/>
    <x v="25"/>
    <d v="2006-06-26T00:00:00"/>
    <s v="Ilha dos Ursos"/>
    <s v="Norte"/>
    <n v="24900"/>
    <n v="0"/>
    <n v="14"/>
    <s v="Médio"/>
    <x v="2"/>
    <n v="49500"/>
    <s v="Aprovado"/>
    <s v="Aprovado"/>
    <x v="117"/>
  </r>
  <r>
    <s v="Ativo"/>
    <s v="Sandor Westerling"/>
    <s v="000.000.008-00"/>
    <x v="56"/>
    <d v="1954-10-03T00:00:00"/>
    <s v="Atalaia da Água Cinzenta"/>
    <s v="gargalo"/>
    <n v="15100"/>
    <n v="0"/>
    <n v="42"/>
    <s v="Alto"/>
    <x v="0"/>
    <n v="77000"/>
    <s v="Aprovado"/>
    <s v="Aprovado"/>
    <x v="96"/>
  </r>
  <r>
    <s v="Ativo"/>
    <s v="SANDOR WESTERLING"/>
    <s v="000.000.000-00"/>
    <x v="24"/>
    <d v="1982-08-04T00:00:00"/>
    <s v="Vilavelha"/>
    <m/>
    <n v="5500"/>
    <n v="26000"/>
    <n v="30"/>
    <s v="Alto"/>
    <x v="0"/>
    <n v="64000"/>
    <s v="Aprovado"/>
    <s v="Aprovado"/>
    <x v="124"/>
  </r>
  <r>
    <s v="Ativo"/>
    <s v="Sansa Clegane"/>
    <s v="000.000.174-00"/>
    <x v="33"/>
    <d v="1959-05-01T00:00:00"/>
    <s v="Ponta Tempestade"/>
    <s v="Terras da Tempestade"/>
    <n v="6500"/>
    <n v="42500"/>
    <n v="3"/>
    <s v="Baixo"/>
    <x v="2"/>
    <n v="8000"/>
    <s v="Aprovado"/>
    <s v="Aprovado"/>
    <x v="122"/>
  </r>
  <r>
    <s v="Ativo"/>
    <s v="Sansa Dondarrion"/>
    <s v="000.000.101-00"/>
    <x v="51"/>
    <d v="2003-11-11T00:00:00"/>
    <s v="Ninho da Águia"/>
    <s v="Vale"/>
    <n v="4100"/>
    <n v="2000"/>
    <n v="8"/>
    <s v="Baixo"/>
    <x v="0"/>
    <n v="4000"/>
    <s v="Aprovado"/>
    <s v="Aprovado"/>
    <x v="125"/>
  </r>
  <r>
    <s v="Ativo"/>
    <s v="Shae  Dayne"/>
    <s v="000.000.312-00"/>
    <x v="23"/>
    <d v="2000-09-23T00:00:00"/>
    <s v="Ninho da Águia"/>
    <s v="Vale"/>
    <n v="22100"/>
    <n v="30500"/>
    <n v="28"/>
    <s v="Alto"/>
    <x v="0"/>
    <n v="48000"/>
    <s v="Aprovado"/>
    <s v="Aprovado"/>
    <x v="27"/>
  </r>
  <r>
    <s v="N/I"/>
    <s v="Shae Blackwood"/>
    <n v="14500"/>
    <x v="43"/>
    <s v="18/07/1962"/>
    <s v="Atalaia da Água Cinzenta "/>
    <s v=" Gargalo"/>
    <n v="9400"/>
    <n v="0"/>
    <n v="9"/>
    <s v="Baixo"/>
    <x v="0"/>
    <n v="14500"/>
    <s v="Aprovado"/>
    <s v="Aprovado"/>
    <x v="4"/>
  </r>
  <r>
    <s v="Ativo"/>
    <s v="Shae Clegane"/>
    <s v="000.000.205-00"/>
    <x v="55"/>
    <d v="1986-05-07T00:00:00"/>
    <s v="Fosso Cailin"/>
    <s v="Norte"/>
    <n v="9900"/>
    <n v="3500"/>
    <n v="1"/>
    <s v="Baixo"/>
    <x v="0"/>
    <n v="23500"/>
    <s v="Aprovado"/>
    <s v="Aprovado"/>
    <x v="50"/>
  </r>
  <r>
    <s v="Ativo"/>
    <s v="Shae Frey"/>
    <s v="00.000.012.7-00"/>
    <x v="37"/>
    <d v="1999-12-24T00:00:00"/>
    <s v="Ilha dos Ursos"/>
    <s v="Norte"/>
    <n v="5000"/>
    <n v="61500"/>
    <n v="35"/>
    <s v="Alto"/>
    <x v="0"/>
    <n v="18500"/>
    <s v="Aprovado"/>
    <s v="Aprovado"/>
    <x v="79"/>
  </r>
  <r>
    <s v="Ativo"/>
    <s v="Shae Mormont"/>
    <s v="000.000.307-00"/>
    <x v="41"/>
    <d v="1962-09-11T00:00:00"/>
    <s v="Dorne"/>
    <s v="Dorne"/>
    <n v="5500"/>
    <n v="41000"/>
    <n v="2"/>
    <s v="Baixo"/>
    <x v="0"/>
    <n v="54500"/>
    <s v="Aprovado"/>
    <s v="Aprovado"/>
    <x v="112"/>
  </r>
  <r>
    <s v="Ativo"/>
    <s v="Shae Mormont"/>
    <s v="000.000.114-00"/>
    <x v="9"/>
    <d v="1953-09-21T00:00:00"/>
    <s v="Lannisporto"/>
    <s v="Oeste"/>
    <n v="12600"/>
    <n v="5500"/>
    <n v="35"/>
    <s v="Alto"/>
    <x v="0"/>
    <n v="21000"/>
    <s v="Aprovado"/>
    <s v="Aprovado"/>
    <x v="126"/>
  </r>
  <r>
    <s v="Ativo"/>
    <s v="Shae Seaworth"/>
    <s v="000.000.030-00"/>
    <x v="16"/>
    <d v="1993-02-27T00:00:00"/>
    <s v="Braavos"/>
    <s v="Essos"/>
    <n v="3400"/>
    <n v="0"/>
    <n v="13"/>
    <s v="Médio"/>
    <x v="0"/>
    <n v="70000"/>
    <s v="Aprovado"/>
    <s v="Aprovado"/>
    <x v="127"/>
  </r>
  <r>
    <s v="Inativo"/>
    <s v="Shae Tarly"/>
    <s v="000.000.235-00"/>
    <x v="16"/>
    <d v="1992-10-25T00:00:00"/>
    <s v="Jardim de Cima"/>
    <s v="Campina"/>
    <n v="12500"/>
    <n v="51500"/>
    <n v="44"/>
    <s v="Alto"/>
    <x v="2"/>
    <n v="24000"/>
    <s v="Negado"/>
    <s v="Negado"/>
    <x v="4"/>
  </r>
  <r>
    <s v="Inativo"/>
    <s v="Stannis  Cerwyn"/>
    <s v="00.000.003.4-00"/>
    <x v="18"/>
    <d v="1990-11-27T00:00:00"/>
    <s v="Winterfell"/>
    <s v="Norte"/>
    <n v="17600"/>
    <n v="44000"/>
    <n v="22"/>
    <s v="Médio"/>
    <x v="0"/>
    <n v="56500"/>
    <s v="Aprovado"/>
    <s v="Aprovado"/>
    <x v="4"/>
  </r>
  <r>
    <s v="Ativo"/>
    <s v="Stannis Crakehall"/>
    <s v="000.000.351-00"/>
    <x v="56"/>
    <d v="1955-07-05T00:00:00"/>
    <s v="Lannisporto"/>
    <s v="Oeste"/>
    <n v="14200"/>
    <n v="51000"/>
    <n v="10"/>
    <s v="Baixo"/>
    <x v="0"/>
    <n v="90500"/>
    <s v="Aprovado"/>
    <s v="Aprovado"/>
    <x v="128"/>
  </r>
  <r>
    <s v="Ativo"/>
    <s v="Stannis Greyjoy"/>
    <s v="000.000.236-00"/>
    <x v="1"/>
    <d v="1957-05-03T00:00:00"/>
    <s v="Pedra do Dragão "/>
    <s v=" Terras da Coroa"/>
    <n v="13800"/>
    <n v="62000"/>
    <n v="31"/>
    <s v="Alto"/>
    <x v="0"/>
    <n v="60500"/>
    <s v="Aprovado"/>
    <s v="Aprovado"/>
    <x v="129"/>
  </r>
  <r>
    <s v="Inativo"/>
    <s v="Stannis Lannister"/>
    <s v="00.000.036.1-00"/>
    <x v="10"/>
    <d v="2002-02-26T00:00:00"/>
    <s v="Ponta Tempestade"/>
    <s v="Terras da Tempestade"/>
    <n v="11000"/>
    <n v="76500"/>
    <n v="33"/>
    <s v="Alto"/>
    <x v="2"/>
    <n v="26000"/>
    <s v="Negado"/>
    <s v="Negado"/>
    <x v="4"/>
  </r>
  <r>
    <s v="Ativo"/>
    <s v="Stannis Redwyne"/>
    <s v="000.000.216-00"/>
    <x v="54"/>
    <d v="1992-08-19T00:00:00"/>
    <s v="Jardim de Cima "/>
    <s v=" Campina"/>
    <n v="5100"/>
    <n v="17000"/>
    <n v="3"/>
    <s v="Baixo"/>
    <x v="0"/>
    <n v="4500"/>
    <s v="Aprovado"/>
    <s v="Aprovado"/>
    <x v="34"/>
  </r>
  <r>
    <s v="Ativo"/>
    <s v="Stannis Seaworth"/>
    <s v="000.000.316-00"/>
    <x v="43"/>
    <d v="1962-08-28T00:00:00"/>
    <s v="Pyke"/>
    <s v="ILHAS DE FERRO"/>
    <n v="8800"/>
    <n v="66000"/>
    <n v="28"/>
    <s v="Alto"/>
    <x v="0"/>
    <n v="5000"/>
    <s v="Aprovado"/>
    <s v="Aprovado"/>
    <x v="118"/>
  </r>
  <r>
    <s v="Ativo"/>
    <s v="Stannis Westerling"/>
    <s v="000.000.071-00"/>
    <x v="49"/>
    <d v="1995-03-11T00:00:00"/>
    <s v="Lannisporto"/>
    <s v="Oeste"/>
    <n v="9000"/>
    <n v="66000"/>
    <n v="24"/>
    <s v="Médio"/>
    <x v="0"/>
    <n v="72000"/>
    <s v="Aprovado"/>
    <s v="Aprovado"/>
    <x v="22"/>
  </r>
  <r>
    <s v="Inativo"/>
    <s v="theon baelish"/>
    <s v="000.000.380-00"/>
    <x v="2"/>
    <d v="1990-02-10T00:00:00"/>
    <s v="Atalaia da Água Cinzenta"/>
    <s v="gargalo"/>
    <n v="27600"/>
    <n v="37000"/>
    <n v="15"/>
    <s v="Médio"/>
    <x v="0"/>
    <n v="41500"/>
    <s v="Aprovado"/>
    <s v="Aprovado"/>
    <x v="4"/>
  </r>
  <r>
    <s v="Ativo"/>
    <s v="THEON BARATHEON"/>
    <s v="000.000.375-00"/>
    <x v="37"/>
    <d v="2000-04-06T00:00:00"/>
    <s v="Dorne"/>
    <s v="Dorne"/>
    <n v="22900"/>
    <n v="65500"/>
    <n v="40"/>
    <s v="Alto"/>
    <x v="2"/>
    <n v="95500"/>
    <s v="Negado"/>
    <s v="Negado"/>
    <x v="4"/>
  </r>
  <r>
    <s v="Ativo"/>
    <s v="Theon Frey"/>
    <s v="000.000.123-00"/>
    <x v="7"/>
    <d v="2007-05-07T00:00:00"/>
    <s v="Monte Chifre"/>
    <s v="Campina"/>
    <n v="7200"/>
    <n v="16000"/>
    <n v="5"/>
    <s v="Baixo"/>
    <x v="0"/>
    <n v="52000"/>
    <s v="Aprovado"/>
    <s v="Aprovado"/>
    <x v="130"/>
  </r>
  <r>
    <s v="Ativo"/>
    <s v="Theon Karstark"/>
    <s v="000.000.296-00"/>
    <x v="56"/>
    <d v="1955-04-08T00:00:00"/>
    <s v="Braavos"/>
    <s v="Essos"/>
    <n v="29200"/>
    <n v="73500"/>
    <n v="2"/>
    <s v="Baixo"/>
    <x v="0"/>
    <n v="33000"/>
    <s v="Aprovado"/>
    <s v="Aprovado"/>
    <x v="38"/>
  </r>
  <r>
    <s v="Inativo"/>
    <s v="theon tarth"/>
    <s v="000.000.289-00"/>
    <x v="50"/>
    <d v="1952-03-20T00:00:00"/>
    <s v="Lannisporto"/>
    <m/>
    <n v="7100"/>
    <n v="61500"/>
    <n v="1"/>
    <s v="Baixo"/>
    <x v="0"/>
    <n v="50500"/>
    <s v="Aprovado"/>
    <s v="Aprovado"/>
    <x v="4"/>
  </r>
  <r>
    <s v="Ativo"/>
    <s v="Thoros  Baelish"/>
    <s v="000.000.011-00"/>
    <x v="31"/>
    <d v="1973-05-28T00:00:00"/>
    <s v="Meereen"/>
    <s v="Essos"/>
    <n v="27800"/>
    <n v="52000"/>
    <n v="43"/>
    <s v="Alto"/>
    <x v="0"/>
    <n v="93500"/>
    <s v="Aprovado"/>
    <s v="Aprovado"/>
    <x v="131"/>
  </r>
  <r>
    <s v="Ativo"/>
    <s v="Thoros  Frey"/>
    <s v="000.000.113-00"/>
    <x v="3"/>
    <d v="1970-10-03T00:00:00"/>
    <s v="Jardim de Cima"/>
    <s v="Campina"/>
    <n v="17400"/>
    <n v="75500"/>
    <n v="9"/>
    <s v="Baixo"/>
    <x v="0"/>
    <n v="52000"/>
    <s v="Aprovado"/>
    <s v="Aprovado"/>
    <x v="130"/>
  </r>
  <r>
    <s v="Ativo"/>
    <s v="Thoros Clegane"/>
    <s v="000.000.141-00"/>
    <x v="34"/>
    <d v="1998-07-17T00:00:00"/>
    <s v="Lannisporto"/>
    <s v="Oeste"/>
    <n v="13400"/>
    <n v="54000"/>
    <n v="15"/>
    <s v="Médio"/>
    <x v="0"/>
    <n v="99000"/>
    <s v="Aprovado"/>
    <s v="Aprovado"/>
    <x v="0"/>
  </r>
  <r>
    <s v="Ativo"/>
    <s v="Thoros Crakehall"/>
    <s v="000.000.000-00"/>
    <x v="50"/>
    <d v="1952-05-17T00:00:00"/>
    <s v="Porto Real"/>
    <s v="Terras da Coroa"/>
    <n v="20700"/>
    <n v="17500"/>
    <n v="35"/>
    <s v="Alto"/>
    <x v="0"/>
    <n v="65000"/>
    <s v="Aprovado"/>
    <s v="Aprovado"/>
    <x v="16"/>
  </r>
  <r>
    <s v="Ativo"/>
    <s v="Thoros Crakehall"/>
    <s v="000.000.000-00"/>
    <x v="50"/>
    <d v="1952-05-17T00:00:00"/>
    <s v="Porto Real"/>
    <s v="Terras da Coroa"/>
    <n v="20700"/>
    <n v="17500"/>
    <n v="35"/>
    <s v="Alto"/>
    <x v="0"/>
    <n v="68500"/>
    <s v="Aprovado"/>
    <s v="Aprovado"/>
    <x v="63"/>
  </r>
  <r>
    <s v="Ativo"/>
    <s v="Thoros Greyjoy"/>
    <s v="000.000.374-00"/>
    <x v="33"/>
    <d v="1959-01-23T00:00:00"/>
    <s v="Atalaia da Água Cinzenta"/>
    <s v="gargalo"/>
    <n v="6400"/>
    <n v="1000"/>
    <n v="27"/>
    <s v="Alto"/>
    <x v="0"/>
    <n v="50000"/>
    <s v="Aprovado"/>
    <s v="Aprovado"/>
    <x v="9"/>
  </r>
  <r>
    <s v="Ativo"/>
    <s v="Thoros Greyjoy"/>
    <s v="000.000.043-00"/>
    <x v="42"/>
    <d v="1999-06-05T00:00:00"/>
    <s v="Vilavelha"/>
    <s v="Campina"/>
    <n v="10700"/>
    <n v="60000"/>
    <n v="44"/>
    <s v="Alto"/>
    <x v="0"/>
    <n v="48000"/>
    <s v="Aprovado"/>
    <s v="Aprovado"/>
    <x v="27"/>
  </r>
  <r>
    <s v="Inativo"/>
    <s v="THOROS HORNWOOD"/>
    <s v="000.000.245-00"/>
    <x v="6"/>
    <d v="1960-10-16T00:00:00"/>
    <s v="Castelo Negro"/>
    <s v="Norte"/>
    <n v="19800"/>
    <n v="78500"/>
    <n v="34"/>
    <s v="Alto"/>
    <x v="0"/>
    <n v="23000"/>
    <s v="Aprovado"/>
    <s v="Aprovado"/>
    <x v="4"/>
  </r>
  <r>
    <s v="Inativo"/>
    <s v="THOROS HORNWOOD"/>
    <s v="000.000.245-00"/>
    <x v="6"/>
    <d v="1960-10-16T00:00:00"/>
    <s v="Castelo Negro"/>
    <s v="Norte"/>
    <n v="19800"/>
    <n v="78500"/>
    <n v="34"/>
    <s v="Alto"/>
    <x v="0"/>
    <n v="84000"/>
    <s v="Aprovado"/>
    <s v="Aprovado"/>
    <x v="4"/>
  </r>
  <r>
    <s v="Ativo"/>
    <s v="Thoros Karstark"/>
    <s v="000.000.012-00"/>
    <x v="31"/>
    <d v="1972-11-28T00:00:00"/>
    <s v="Atalaia da Água Cinzenta"/>
    <s v="gargalo"/>
    <n v="22700"/>
    <n v="42500"/>
    <n v="25"/>
    <s v="Médio"/>
    <x v="2"/>
    <n v="86000"/>
    <s v="Aprovado"/>
    <s v="Aprovado"/>
    <x v="132"/>
  </r>
  <r>
    <s v="Ativo"/>
    <s v="Thoros Payne"/>
    <s v="000.000.000-00"/>
    <x v="55"/>
    <d v="1985-10-17T00:00:00"/>
    <s v="Harrenhal"/>
    <s v="terras fluviais"/>
    <n v="14000"/>
    <n v="0"/>
    <n v="24"/>
    <s v="Médio"/>
    <x v="0"/>
    <n v="82000"/>
    <s v="Aprovado"/>
    <s v="Aprovado"/>
    <x v="133"/>
  </r>
  <r>
    <s v="Ativo"/>
    <s v="Thoros Tarth"/>
    <s v="00.000.023.9-00"/>
    <x v="30"/>
    <d v="1986-11-24T00:00:00"/>
    <s v="Pyke"/>
    <s v="ILHAS DE FERRO"/>
    <n v="13200"/>
    <n v="0"/>
    <n v="38"/>
    <s v="Alto"/>
    <x v="0"/>
    <n v="36000"/>
    <s v="Aprovado"/>
    <s v="Aprovado"/>
    <x v="134"/>
  </r>
  <r>
    <s v="Ativo"/>
    <s v="Thoros Tarth"/>
    <s v="000.000.280-00"/>
    <x v="53"/>
    <d v="1985-04-19T00:00:00"/>
    <s v="Fosso Cailin"/>
    <s v="Norte"/>
    <n v="26500"/>
    <n v="29500"/>
    <n v="5"/>
    <s v="Baixo"/>
    <x v="0"/>
    <n v="75000"/>
    <s v="Aprovado"/>
    <s v="Aprovado"/>
    <x v="106"/>
  </r>
  <r>
    <s v="Ativo"/>
    <s v="Thoros Westerling"/>
    <s v="000.000.000-00"/>
    <x v="42"/>
    <d v="1998-12-23T00:00:00"/>
    <s v="Jardim de Cima"/>
    <s v="Campina"/>
    <n v="30000"/>
    <n v="27000"/>
    <n v="28"/>
    <s v="Alto"/>
    <x v="0"/>
    <n v="28500"/>
    <s v="Aprovado"/>
    <s v="Aprovado"/>
    <x v="86"/>
  </r>
  <r>
    <s v="Ativo"/>
    <s v="Thoros Yronwood"/>
    <s v="000.000.201-00"/>
    <x v="3"/>
    <d v="1970-12-23T00:00:00"/>
    <s v="Pyke"/>
    <s v="ILHAS DE FERRO"/>
    <n v="20200"/>
    <n v="61000"/>
    <n v="10"/>
    <s v="Baixo"/>
    <x v="0"/>
    <n v="6500"/>
    <s v="Aprovado"/>
    <s v="Aprovado"/>
    <x v="24"/>
  </r>
  <r>
    <s v="Ativo"/>
    <s v="Thoros Yronwood"/>
    <s v="000.000.104-00"/>
    <x v="15"/>
    <d v="1975-01-27T00:00:00"/>
    <s v="Dorne"/>
    <s v="Dorne"/>
    <n v="26000"/>
    <n v="47500"/>
    <n v="45"/>
    <s v="Alto"/>
    <x v="0"/>
    <n v="60500"/>
    <s v="Aprovado"/>
    <s v="Aprovado"/>
    <x v="129"/>
  </r>
  <r>
    <s v="Ativo"/>
    <s v="Tormund  Cerwyn"/>
    <s v="000.000.039-00"/>
    <x v="16"/>
    <d v="1993-06-27T00:00:00"/>
    <s v="Meereen"/>
    <s v="Essos"/>
    <n v="28700"/>
    <n v="12500"/>
    <n v="41"/>
    <s v="Alto"/>
    <x v="0"/>
    <n v="99500"/>
    <s v="Aprovado"/>
    <s v="Aprovado"/>
    <x v="49"/>
  </r>
  <r>
    <s v="Inativo"/>
    <s v="tormund glover"/>
    <s v="000.000.087-00"/>
    <x v="41"/>
    <d v="1962-12-14T00:00:00"/>
    <s v="Pyke"/>
    <s v="ILHAS DE FERRO"/>
    <n v="20000"/>
    <n v="29500"/>
    <n v="42"/>
    <s v="Alto"/>
    <x v="0"/>
    <n v="5000"/>
    <s v="Aprovado"/>
    <s v="Aprovado"/>
    <x v="4"/>
  </r>
  <r>
    <s v="Inativo"/>
    <s v="Tormund Greyjoy"/>
    <s v="000.000.009-00"/>
    <x v="52"/>
    <d v="1968-02-04T00:00:00"/>
    <s v="Pyke"/>
    <s v="ILHAS DE FERRO"/>
    <n v="12500"/>
    <n v="44500"/>
    <n v="13"/>
    <s v="Médio"/>
    <x v="0"/>
    <n v="16000"/>
    <s v="Aprovado"/>
    <s v="Aprovado"/>
    <x v="4"/>
  </r>
  <r>
    <s v="Inativo"/>
    <s v="Tormund Greyjoy"/>
    <s v="000.000.009-00"/>
    <x v="52"/>
    <d v="1968-02-04T00:00:00"/>
    <s v="Pyke"/>
    <s v="ILHAS DE FERRO"/>
    <n v="12500"/>
    <n v="44500"/>
    <n v="13"/>
    <s v="Médio"/>
    <x v="0"/>
    <n v="98500"/>
    <s v="Aprovado"/>
    <s v="Aprovado"/>
    <x v="4"/>
  </r>
  <r>
    <s v="Ativo"/>
    <s v="Tormund Karstark"/>
    <s v="000.000.284-00"/>
    <x v="32"/>
    <d v="1983-12-12T00:00:00"/>
    <s v="Castelo Negro"/>
    <s v="Norte"/>
    <n v="20400"/>
    <n v="0"/>
    <n v="0"/>
    <s v="Baixo"/>
    <x v="0"/>
    <n v="81000"/>
    <s v="Aprovado"/>
    <s v="Aprovado"/>
    <x v="46"/>
  </r>
  <r>
    <s v="Ativo"/>
    <s v="tormund royce"/>
    <s v="000.000.297-00"/>
    <x v="3"/>
    <d v="1970-11-08T00:00:00"/>
    <s v="Ponta Tempestade"/>
    <s v="Terras da Tempestade"/>
    <n v="27500"/>
    <n v="14000"/>
    <n v="3"/>
    <s v="Baixo"/>
    <x v="0"/>
    <n v="11500"/>
    <s v="Aprovado"/>
    <s v="Aprovado"/>
    <x v="135"/>
  </r>
  <r>
    <s v="Ativo"/>
    <s v="Tormund Tyrell"/>
    <s v="000.000.378-00"/>
    <x v="54"/>
    <d v="1992-05-22T00:00:00"/>
    <s v="Dorne"/>
    <s v="Dorne"/>
    <n v="28900"/>
    <n v="37000"/>
    <n v="21"/>
    <s v="Médio"/>
    <x v="0"/>
    <n v="97500"/>
    <s v="Aprovado"/>
    <s v="Aprovado"/>
    <x v="136"/>
  </r>
  <r>
    <s v="Ativo"/>
    <s v="Tormund Yronwood"/>
    <s v="000.000.187-00"/>
    <x v="30"/>
    <d v="1987-07-14T00:00:00"/>
    <s v="Correrrio"/>
    <s v="terras fluviais"/>
    <n v="8700"/>
    <n v="4500"/>
    <n v="16"/>
    <s v="Médio"/>
    <x v="0"/>
    <n v="93500"/>
    <s v="Aprovado"/>
    <s v="Aprovado"/>
    <x v="131"/>
  </r>
  <r>
    <s v="Inativo"/>
    <s v="Tyrion Blackwood"/>
    <s v="000.000.100-00"/>
    <x v="33"/>
    <d v="1959-05-04T00:00:00"/>
    <s v="Atalaia da Água Cinzenta"/>
    <s v="gargalo"/>
    <n v="15200"/>
    <n v="67500"/>
    <n v="12"/>
    <s v="Médio"/>
    <x v="0"/>
    <n v="97500"/>
    <s v="Aprovado"/>
    <s v="Aprovado"/>
    <x v="4"/>
  </r>
  <r>
    <s v="Inativo"/>
    <s v="Tyrion Clegane"/>
    <s v="000.000.281-00"/>
    <x v="15"/>
    <d v="1975-07-15T00:00:00"/>
    <s v="Monte Chifre"/>
    <s v="Campina"/>
    <n v="11400"/>
    <n v="0"/>
    <n v="17"/>
    <s v="Médio"/>
    <x v="0"/>
    <n v="55500"/>
    <s v="Aprovado"/>
    <s v="Aprovado"/>
    <x v="4"/>
  </r>
  <r>
    <s v="Ativo"/>
    <s v="Tyrion Karstark"/>
    <s v="000.000.000-00"/>
    <x v="53"/>
    <d v="1984-11-06T00:00:00"/>
    <s v="Lannisporto"/>
    <s v="Oeste"/>
    <n v="28600"/>
    <n v="67500"/>
    <n v="39"/>
    <s v="Alto"/>
    <x v="0"/>
    <n v="22000"/>
    <s v="Aprovado"/>
    <s v="Aprovado"/>
    <x v="137"/>
  </r>
  <r>
    <s v="Ativo"/>
    <s v="Tyrion Lannister"/>
    <s v="000.000.000-00"/>
    <x v="10"/>
    <d v="2002-08-02T00:00:00"/>
    <s v="Solar do Entardecer"/>
    <s v="Terras da Tempestade"/>
    <n v="16900"/>
    <n v="42500"/>
    <n v="26"/>
    <s v="Alto"/>
    <x v="2"/>
    <n v="12500"/>
    <s v="Negado"/>
    <s v="Negado"/>
    <x v="4"/>
  </r>
  <r>
    <s v="Ativo"/>
    <s v="Tyrion Snow"/>
    <s v="00.000.027.9-00"/>
    <x v="56"/>
    <d v="1955-01-05T00:00:00"/>
    <s v="Monte Chifre"/>
    <s v="Campina"/>
    <n v="24100"/>
    <n v="0"/>
    <n v="10"/>
    <s v="Baixo"/>
    <x v="0"/>
    <n v="87000"/>
    <s v="Aprovado"/>
    <s v="Aprovado"/>
    <x v="40"/>
  </r>
  <r>
    <s v="Ativo"/>
    <s v="Tyrion Tyrell"/>
    <s v="000.000.000-00"/>
    <x v="32"/>
    <d v="1984-02-12T00:00:00"/>
    <s v="Ilha dos Ursos"/>
    <s v="Norte"/>
    <n v="18500"/>
    <n v="59000"/>
    <n v="44"/>
    <s v="Alto"/>
    <x v="0"/>
    <n v="16500"/>
    <s v="Aprovado"/>
    <s v="Aprovado"/>
    <x v="81"/>
  </r>
  <r>
    <s v="Ativo"/>
    <s v="Tyrion Westerling"/>
    <n v="29000"/>
    <x v="14"/>
    <m/>
    <s v="Correrio"/>
    <s v="terras fluviais"/>
    <n v="23100"/>
    <n v="55000"/>
    <n v="9"/>
    <s v="Baixo"/>
    <x v="0"/>
    <n v="17000"/>
    <s v="Aprovado"/>
    <s v="Aprovado"/>
    <x v="121"/>
  </r>
  <r>
    <s v="Inativo"/>
    <s v="Varys  Blackwood"/>
    <s v="000.000.000-00"/>
    <x v="48"/>
    <d v="1972-06-03T00:00:00"/>
    <s v="Atalaia da Água Cinzenta"/>
    <s v="gargalo"/>
    <n v="3900"/>
    <n v="80000"/>
    <n v="41"/>
    <s v="Alto"/>
    <x v="0"/>
    <n v="30000"/>
    <s v="Aprovado"/>
    <s v="Aprovado"/>
    <x v="4"/>
  </r>
  <r>
    <s v="Ativo"/>
    <s v="Varys  Stark"/>
    <s v="000.000.000-00"/>
    <x v="26"/>
    <d v="2002-11-06T00:00:00"/>
    <s v="Braavos"/>
    <s v="Essos"/>
    <n v="2600"/>
    <n v="0"/>
    <n v="30"/>
    <s v="Alto"/>
    <x v="2"/>
    <n v="11000"/>
    <s v="Negado"/>
    <s v="Negado"/>
    <x v="4"/>
  </r>
  <r>
    <s v="Ativo"/>
    <s v="Varys Arryn"/>
    <s v="000.000.097-00"/>
    <x v="4"/>
    <d v="1970-08-28T00:00:00"/>
    <s v="Vilavelha"/>
    <s v="Campina"/>
    <n v="5400"/>
    <n v="61000"/>
    <n v="12"/>
    <s v="Médio"/>
    <x v="0"/>
    <n v="96500"/>
    <s v="Aprovado"/>
    <s v="Aprovado"/>
    <x v="138"/>
  </r>
  <r>
    <s v="Ativo"/>
    <s v="Varys Blackwood"/>
    <s v="000.000.373-00"/>
    <x v="0"/>
    <m/>
    <s v="Braavos"/>
    <m/>
    <n v="11600"/>
    <n v="63500"/>
    <n v="18"/>
    <s v="Médio"/>
    <x v="0"/>
    <n v="3000"/>
    <s v="Aprovado"/>
    <s v="Aprovado"/>
    <x v="28"/>
  </r>
  <r>
    <s v="Ativo"/>
    <s v="Varys Bolton"/>
    <s v="00.000.027.2-00"/>
    <x v="4"/>
    <d v="1970-05-22T00:00:00"/>
    <s v="Fosso Cailin"/>
    <s v="Norte"/>
    <n v="14100"/>
    <n v="1500"/>
    <n v="26"/>
    <s v="Alto"/>
    <x v="0"/>
    <n v="36000"/>
    <s v="Aprovado"/>
    <s v="Aprovado"/>
    <x v="134"/>
  </r>
  <r>
    <s v="Ativo"/>
    <s v="VARYS BRACKEN"/>
    <s v="000.000.215-00"/>
    <x v="34"/>
    <d v="1998-04-02T00:00:00"/>
    <s v="Porto Real"/>
    <s v="Terras da Coroa"/>
    <n v="2000"/>
    <n v="51000"/>
    <n v="12"/>
    <s v="Médio"/>
    <x v="0"/>
    <n v="72500"/>
    <s v="Aprovado"/>
    <s v="Aprovado"/>
    <x v="2"/>
  </r>
  <r>
    <s v="Ativo"/>
    <s v="Varys Florent"/>
    <s v="000.000.000-00"/>
    <x v="44"/>
    <d v="1969-02-04T00:00:00"/>
    <s v="Harrenhal "/>
    <s v=" Terras Fluviais"/>
    <n v="3200"/>
    <n v="0"/>
    <n v="18"/>
    <s v="Médio"/>
    <x v="0"/>
    <n v="64000"/>
    <s v="Aprovado"/>
    <s v="Aprovado"/>
    <x v="124"/>
  </r>
  <r>
    <s v="Ativo"/>
    <s v="Varys Lannister"/>
    <s v="000.000.367-00"/>
    <x v="33"/>
    <d v="1958-11-08T00:00:00"/>
    <s v="Pyke "/>
    <s v=" Ilhas de Ferro"/>
    <n v="21600"/>
    <n v="73500"/>
    <n v="7"/>
    <s v="Baixo"/>
    <x v="2"/>
    <n v="24500"/>
    <s v="Aprovado"/>
    <s v="Negado"/>
    <x v="54"/>
  </r>
  <r>
    <s v="Ativo"/>
    <s v="Varys Lannister"/>
    <s v="000.000.010-00"/>
    <x v="40"/>
    <d v="1965-11-08T00:00:00"/>
    <s v="Ninho da Águia"/>
    <s v="Vale"/>
    <n v="22600"/>
    <n v="80000"/>
    <n v="9"/>
    <s v="Baixo"/>
    <x v="0"/>
    <n v="58500"/>
    <s v="Aprovado"/>
    <s v="Aprovado"/>
    <x v="139"/>
  </r>
  <r>
    <s v="Inativo"/>
    <s v="Varys Tallhart"/>
    <s v="000.000.000-00"/>
    <x v="38"/>
    <d v="1965-07-09T00:00:00"/>
    <s v="Correrrio"/>
    <s v="terras fluviais"/>
    <n v="4100"/>
    <n v="78000"/>
    <n v="25"/>
    <s v="Médio"/>
    <x v="0"/>
    <n v="48000"/>
    <s v="Aprovado"/>
    <s v="Aprovado"/>
    <x v="4"/>
  </r>
  <r>
    <s v="Ativo"/>
    <s v="Varys Targaryen"/>
    <s v="000.000.234-00"/>
    <x v="46"/>
    <d v="1979-12-08T00:00:00"/>
    <s v="Meereen"/>
    <s v="Essos"/>
    <n v="3200"/>
    <n v="0"/>
    <n v="16"/>
    <s v="Médio"/>
    <x v="0"/>
    <n v="61500"/>
    <s v="Aprovado"/>
    <s v="Aprovado"/>
    <x v="18"/>
  </r>
  <r>
    <s v="Ativo"/>
    <s v="Viserys  Umber"/>
    <s v="000.000.155-00"/>
    <x v="7"/>
    <d v="2007-05-28T00:00:00"/>
    <s v="Jardim de Cima"/>
    <s v="Campina"/>
    <n v="18000"/>
    <n v="49500"/>
    <n v="25"/>
    <s v="Médio"/>
    <x v="0"/>
    <n v="46500"/>
    <s v="Aprovado"/>
    <s v="Aprovado"/>
    <x v="43"/>
  </r>
  <r>
    <s v="Inativo"/>
    <s v="Viserys Baratheon"/>
    <s v="000.000.186-00"/>
    <x v="16"/>
    <d v="1992-12-17T00:00:00"/>
    <s v="Winterfell"/>
    <s v="Norte"/>
    <n v="25700"/>
    <n v="35000"/>
    <n v="40"/>
    <s v="Alto"/>
    <x v="0"/>
    <n v="1000"/>
    <s v="Aprovado"/>
    <s v="Aprovado"/>
    <x v="4"/>
  </r>
  <r>
    <s v="Inativo"/>
    <s v="Viserys Florent"/>
    <s v="000.000.129-00"/>
    <x v="20"/>
    <d v="1967-03-23T00:00:00"/>
    <s v="Meereen"/>
    <s v="Essos"/>
    <n v="15200"/>
    <n v="11000"/>
    <n v="27"/>
    <s v="Alto"/>
    <x v="0"/>
    <n v="87000"/>
    <s v="Aprovado"/>
    <s v="Aprovado"/>
    <x v="4"/>
  </r>
  <r>
    <s v="Inativo"/>
    <s v="Viserys Hightower"/>
    <s v="000.000.262-00"/>
    <x v="38"/>
    <d v="1965-04-02T00:00:00"/>
    <s v="Monte Chifre"/>
    <s v="Campina"/>
    <n v="9100"/>
    <n v="49000"/>
    <n v="1"/>
    <s v="Baixo"/>
    <x v="0"/>
    <n v="48000"/>
    <s v="Aprovado"/>
    <s v="Aprovado"/>
    <x v="4"/>
  </r>
  <r>
    <s v="Inativo"/>
    <s v="Viserys Hightower"/>
    <s v="000.000.080-00"/>
    <x v="48"/>
    <d v="1972-04-14T00:00:00"/>
    <s v="Monte Chifre"/>
    <s v="Campina"/>
    <n v="20800"/>
    <n v="16000"/>
    <n v="32"/>
    <s v="Alto"/>
    <x v="0"/>
    <n v="31500"/>
    <s v="Aprovado"/>
    <s v="Aprovado"/>
    <x v="4"/>
  </r>
  <r>
    <s v="Inativo"/>
    <s v="Viserys Seaworth"/>
    <s v="000.000.024-00"/>
    <x v="38"/>
    <d v="1964-10-17T00:00:00"/>
    <s v="Meereen"/>
    <s v="Essos"/>
    <n v="23000"/>
    <n v="44500"/>
    <n v="32"/>
    <s v="Alto"/>
    <x v="2"/>
    <n v="2000"/>
    <s v="Negado"/>
    <s v="Negado"/>
    <x v="4"/>
  </r>
  <r>
    <s v="Ativo"/>
    <s v="Yara  Marbrand"/>
    <s v="000.000.266-00"/>
    <x v="13"/>
    <d v="1956-03-19T00:00:00"/>
    <s v="Atalaia da Água Cinzenta"/>
    <s v="gargalo"/>
    <n v="9100"/>
    <n v="40500"/>
    <n v="35"/>
    <s v="Alto"/>
    <x v="0"/>
    <n v="53000"/>
    <s v="Aprovado"/>
    <s v="Aprovado"/>
    <x v="56"/>
  </r>
  <r>
    <s v="Ativo"/>
    <s v="Yara Baelish"/>
    <s v="00.000.034.4-00"/>
    <x v="43"/>
    <d v="1962-07-09T00:00:00"/>
    <s v="Solar do Entardecer"/>
    <s v="Terras da Tempestade"/>
    <n v="24300"/>
    <n v="16500"/>
    <n v="24"/>
    <s v="Médio"/>
    <x v="2"/>
    <n v="57000"/>
    <s v="Aprovado"/>
    <s v="Aprovado"/>
    <x v="32"/>
  </r>
  <r>
    <s v="Ativo"/>
    <s v="Yara Mallister"/>
    <s v="000.000.134-00"/>
    <x v="24"/>
    <d v="1981-11-02T00:00:00"/>
    <s v="Lannisporto"/>
    <s v="Oeste"/>
    <n v="20600"/>
    <n v="8000"/>
    <n v="39"/>
    <s v="Alto"/>
    <x v="0"/>
    <n v="36000"/>
    <s v="Aprovado"/>
    <s v="Aprovado"/>
    <x v="134"/>
  </r>
  <r>
    <s v="Inativo"/>
    <s v="Yara Payne"/>
    <s v="000.000.250-00"/>
    <x v="51"/>
    <d v="2004-01-15T00:00:00"/>
    <s v="Fosso Cailin"/>
    <s v="Norte"/>
    <n v="2100"/>
    <n v="79500"/>
    <n v="29"/>
    <s v="Alto"/>
    <x v="2"/>
    <n v="64000"/>
    <s v="Negado"/>
    <s v="Negado"/>
    <x v="4"/>
  </r>
  <r>
    <s v="Ativo"/>
    <s v="Yara Royce"/>
    <s v="00.000.032.0-00"/>
    <x v="35"/>
    <d v="1957-12-08T00:00:00"/>
    <s v="Castelo Negro"/>
    <s v="Norte"/>
    <n v="11500"/>
    <n v="17500"/>
    <n v="19"/>
    <s v="Médio"/>
    <x v="0"/>
    <n v="26000"/>
    <s v="Aprovado"/>
    <s v="Aprovado"/>
    <x v="115"/>
  </r>
  <r>
    <s v="Ativo"/>
    <s v="Yara Royce"/>
    <s v="000.000.277-00"/>
    <x v="6"/>
    <d v="1961-06-04T00:00:00"/>
    <s v="Ninho da Águia"/>
    <s v="Vale"/>
    <n v="12700"/>
    <n v="60500"/>
    <n v="36"/>
    <s v="Alto"/>
    <x v="0"/>
    <n v="28000"/>
    <s v="Aprovado"/>
    <s v="Aprovado"/>
    <x v="140"/>
  </r>
  <r>
    <s v="Inativo"/>
    <s v="Yara Tallhart"/>
    <s v="000.000.000-00"/>
    <x v="44"/>
    <d v="1969-01-03T00:00:00"/>
    <s v="Correrrio"/>
    <s v="terras fluviais"/>
    <n v="3400"/>
    <n v="0"/>
    <n v="20"/>
    <s v="Médio"/>
    <x v="0"/>
    <n v="19500"/>
    <s v="Aprovado"/>
    <s v="Aprovado"/>
    <x v="4"/>
  </r>
  <r>
    <s v="Inativo"/>
    <s v="Yara Tallhart"/>
    <s v="000.000.000-00"/>
    <x v="44"/>
    <d v="1969-01-03T00:00:00"/>
    <s v="Correrrio"/>
    <s v="terras fluviais"/>
    <n v="3400"/>
    <n v="23500"/>
    <n v="20"/>
    <s v="Médio"/>
    <x v="0"/>
    <n v="50500"/>
    <s v="Aprovado"/>
    <s v="Aprovado"/>
    <x v="4"/>
  </r>
  <r>
    <s v="Inativo"/>
    <s v="yara targaryen"/>
    <s v="000.000.059-00"/>
    <x v="32"/>
    <d v="1984-05-08T00:00:00"/>
    <s v="Pyke"/>
    <s v="ILHAS DE FERRO"/>
    <n v="18200"/>
    <n v="31000"/>
    <n v="19"/>
    <s v="Médio"/>
    <x v="0"/>
    <n v="63500"/>
    <s v="Aprovado"/>
    <s v="Aprovado"/>
    <x v="4"/>
  </r>
  <r>
    <m/>
    <m/>
    <m/>
    <x v="57"/>
    <m/>
    <m/>
    <m/>
    <m/>
    <m/>
    <m/>
    <m/>
    <x v="3"/>
    <m/>
    <m/>
    <m/>
    <x v="1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BC8E73-4503-45F0-802D-279488971986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G2:AH60" firstHeaderRow="1" firstDataRow="1" firstDataCol="1"/>
  <pivotFields count="16">
    <pivotField showAll="0"/>
    <pivotField showAll="0"/>
    <pivotField showAll="0"/>
    <pivotField axis="axisRow" showAll="0">
      <items count="59">
        <item x="28"/>
        <item x="7"/>
        <item x="25"/>
        <item x="11"/>
        <item x="51"/>
        <item x="26"/>
        <item x="10"/>
        <item x="23"/>
        <item x="37"/>
        <item x="42"/>
        <item x="34"/>
        <item x="17"/>
        <item x="39"/>
        <item x="49"/>
        <item x="47"/>
        <item x="16"/>
        <item x="54"/>
        <item x="18"/>
        <item x="2"/>
        <item x="21"/>
        <item x="19"/>
        <item x="30"/>
        <item x="55"/>
        <item x="53"/>
        <item x="32"/>
        <item x="36"/>
        <item x="24"/>
        <item x="5"/>
        <item x="46"/>
        <item x="0"/>
        <item x="27"/>
        <item x="12"/>
        <item x="14"/>
        <item x="15"/>
        <item x="45"/>
        <item x="31"/>
        <item x="48"/>
        <item x="3"/>
        <item x="4"/>
        <item x="44"/>
        <item x="52"/>
        <item x="20"/>
        <item x="40"/>
        <item x="38"/>
        <item x="29"/>
        <item x="41"/>
        <item x="43"/>
        <item x="6"/>
        <item x="8"/>
        <item x="33"/>
        <item x="35"/>
        <item x="1"/>
        <item x="13"/>
        <item x="56"/>
        <item x="9"/>
        <item x="22"/>
        <item x="50"/>
        <item h="1" x="5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ame="Inadimplência" dataField="1" showAll="0" countASubtotal="1"/>
    <pivotField showAll="0"/>
    <pivotField showAll="0"/>
    <pivotField showAll="0"/>
    <pivotField showAll="0"/>
  </pivotFields>
  <rowFields count="1">
    <field x="3"/>
  </rowFields>
  <rowItems count="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Items count="1">
    <i/>
  </colItems>
  <dataFields count="1">
    <dataField name="Contagem de Inadimplência" fld="11" subtotal="count" baseField="3" baseItem="0"/>
  </dataFields>
  <chartFormats count="4">
    <chartFormat chart="16" format="7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74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6" format="75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6" format="76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486EDB-662F-4B7E-9D70-6A9A2B40497D}" name="Tabela2" displayName="Tabela2" ref="A2:E6" totalsRowShown="0" headerRowDxfId="52">
  <autoFilter ref="A2:E6" xr:uid="{99486EDB-662F-4B7E-9D70-6A9A2B40497D}"/>
  <tableColumns count="5">
    <tableColumn id="1" xr3:uid="{8B5CDFBF-3D91-41B3-A48E-9AFA625528C8}" name="ID_Produto"/>
    <tableColumn id="2" xr3:uid="{A83E4FC9-BDAB-40E5-B24E-38AD30FAFA3F}" name="Tipo_de_Cafe"/>
    <tableColumn id="3" xr3:uid="{B09C93D6-52F8-4AE6-A950-5428A2E885D5}" name="Tamanho"/>
    <tableColumn id="4" xr3:uid="{B88640EC-EC8D-460E-AFA4-75A6CA1EBF32}" name="Valor_Unitario"/>
    <tableColumn id="5" xr3:uid="{E22CC52B-F540-4A13-A9D0-64EE55315E2C}" name="Quantida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96AA83-5E0A-454A-BF24-B7892DE2964F}" name="Tabela3" displayName="Tabela3" ref="A2:D8" totalsRowShown="0" headerRowDxfId="51" dataDxfId="50">
  <autoFilter ref="A2:D8" xr:uid="{9496AA83-5E0A-454A-BF24-B7892DE2964F}"/>
  <tableColumns count="4">
    <tableColumn id="1" xr3:uid="{2C13C0D8-70CE-4428-B1C1-B2E2F26A092D}" name="Funcionário " dataDxfId="49"/>
    <tableColumn id="2" xr3:uid="{6D49E0ED-3187-4BEA-A3EB-0BEA92EA6DA6}" name="Produto" dataDxfId="48"/>
    <tableColumn id="3" xr3:uid="{7226D1DB-2CAA-4295-9CD2-0947E87DC3C8}" name="Vendas" dataDxfId="47"/>
    <tableColumn id="4" xr3:uid="{3AB3CD04-C048-4212-AFA7-E4954F249A53}" name="Resultado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FC550B-5D40-4C6A-8D3B-788B03D44935}" name="Tabela4" displayName="Tabela4" ref="A2:G7" totalsRowShown="0" headerRowDxfId="45" dataDxfId="44">
  <autoFilter ref="A2:G7" xr:uid="{7AFC550B-5D40-4C6A-8D3B-788B03D44935}"/>
  <tableColumns count="7">
    <tableColumn id="1" xr3:uid="{3F5CE348-0CA0-4E2E-8D86-3CCC3BD798C1}" name="RA" dataDxfId="43"/>
    <tableColumn id="2" xr3:uid="{63795977-646C-471A-8AAC-9AE9D45B3969}" name="Nome de Aluno" dataDxfId="42"/>
    <tableColumn id="3" xr3:uid="{5F3D82BE-A612-4C41-91C4-68AA7C226E1D}" name="Nota 1 Trimestre" dataDxfId="41"/>
    <tableColumn id="4" xr3:uid="{8B278600-71C3-4DB4-9DAB-89D459EA1EFB}" name="Nota 2 Trimestre" dataDxfId="40"/>
    <tableColumn id="5" xr3:uid="{7BEF529E-22F7-4720-BC86-758FF382AE0E}" name="Nota 3 Trimestre" dataDxfId="39"/>
    <tableColumn id="6" xr3:uid="{EC330AD6-08B8-4DE7-AD5F-9F7E23B59DDB}" name="Média Final" dataDxfId="38">
      <calculatedColumnFormula>(C3+D3+E3)/3</calculatedColumnFormula>
    </tableColumn>
    <tableColumn id="7" xr3:uid="{EDE73569-FDC5-4CE4-8DA7-81BA68B266B7}" name="Resultado" dataDxfId="37">
      <calculatedColumnFormula>IF(F3&gt;=6,"Aprovado","Reprovado")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455E313-4769-4266-B09E-33411362A4BC}" name="Tabela5" displayName="Tabela5" ref="A2:F7" totalsRowShown="0" headerRowDxfId="36" dataDxfId="35">
  <autoFilter ref="A2:F7" xr:uid="{D455E313-4769-4266-B09E-33411362A4BC}"/>
  <tableColumns count="6">
    <tableColumn id="1" xr3:uid="{B6CD249F-F4F3-49BB-9A87-BB85673031B8}" name="Nome" dataDxfId="34"/>
    <tableColumn id="2" xr3:uid="{D40F30E7-A41F-4670-B3BE-93C6B264E5A4}" name="Idade" dataDxfId="33"/>
    <tableColumn id="3" xr3:uid="{6EE4F983-BB41-475D-AD0E-594BBB01877A}" name="Ensino Médio" dataDxfId="32"/>
    <tableColumn id="4" xr3:uid="{CF89562B-70B1-49BB-8E90-1893A504A369}" name="Curso Técnico" dataDxfId="31"/>
    <tableColumn id="5" xr3:uid="{9AFA6CAE-9047-4FD3-8403-1C7BC23FEF4F}" name="Anos de experiência na área" dataDxfId="30"/>
    <tableColumn id="6" xr3:uid="{89D38326-315C-4CAA-9901-5CC2AE1002C5}" name="Situação">
      <calculatedColumnFormula>IF(AND(B3&gt;=17,C3="Sim",D3="Sim",E3&gt;2),"APTO","NÃO APTO")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176148-B31A-4DC5-894F-A5DB59C9EC86}" name="Tabela6" displayName="Tabela6" ref="A1:P401" totalsRowShown="0" headerRowDxfId="29" headerRowBorderDxfId="28" tableBorderDxfId="27">
  <autoFilter ref="A1:P401" xr:uid="{2F176148-B31A-4DC5-894F-A5DB59C9EC86}"/>
  <tableColumns count="16">
    <tableColumn id="1" xr3:uid="{53271CD2-690B-4A19-9FB4-3039DE7F71E0}" name="status" dataDxfId="26"/>
    <tableColumn id="2" xr3:uid="{C36BFE07-7F82-41ED-9543-782E47605B9C}" name="nome" dataDxfId="25"/>
    <tableColumn id="3" xr3:uid="{4DD0D159-7B0B-4D89-BB52-C21173BF166D}" name="cpf" dataDxfId="24"/>
    <tableColumn id="4" xr3:uid="{181A8ADA-94EF-486F-B744-2449C6011EA1}" name="idade" dataDxfId="23"/>
    <tableColumn id="5" xr3:uid="{8B64D18C-03A5-45D0-839A-DD3111838562}" name="data_nascimento" dataDxfId="22"/>
    <tableColumn id="6" xr3:uid="{3CA47F75-2C25-40C2-B55D-2BAFB24C1D3C}" name="cidade" dataDxfId="21"/>
    <tableColumn id="7" xr3:uid="{60C5086F-AC81-4D13-A15D-9122B3BFD6ED}" name="regiao" dataDxfId="20"/>
    <tableColumn id="8" xr3:uid="{71F402B6-7159-4C2F-86DD-3AC51EF6CE74}" name="renda_mensal" dataDxfId="19"/>
    <tableColumn id="9" xr3:uid="{B692B4E0-20E6-454A-BEC4-C919DD798A10}" name="credito_tomado" dataDxfId="18"/>
    <tableColumn id="10" xr3:uid="{6036C787-E9DB-402B-A5A7-CF2EC8A2B4AF}" name="qtde_batalhas" dataDxfId="17"/>
    <tableColumn id="11" xr3:uid="{BBAC182C-629A-4940-A078-BC0AD45F3E6B}" name="nivel_risco" dataDxfId="16">
      <calculatedColumnFormula>IF(J2&gt;25,"Alto", IF(J2&lt;=10,"Baixo","Médio"))</calculatedColumnFormula>
    </tableColumn>
    <tableColumn id="12" xr3:uid="{BC532468-6C7E-41FD-A554-3923BFEDD6C3}" name="flag_inadimplente" dataDxfId="15"/>
    <tableColumn id="13" xr3:uid="{3AF397CA-5AF5-4619-9117-131831DF8285}" name="valor_solicitado" dataDxfId="14"/>
    <tableColumn id="14" xr3:uid="{DB4DA1CF-AFCA-4919-86FA-84FE1B366F4D}" name="Primeira Análise" dataDxfId="13">
      <calculatedColumnFormula>IF(AND(K2="Alto",L2="Sim"),"Negado","Aprovado")</calculatedColumnFormula>
    </tableColumn>
    <tableColumn id="15" xr3:uid="{D66A1365-67F7-4861-8632-A25CFF6104FF}" name="Segunda Análise" dataDxfId="11">
      <calculatedColumnFormula>IF(AND(I2&gt;50000,L2="Sim"),"Negado","Aprovado")</calculatedColumnFormula>
    </tableColumn>
    <tableColumn id="16" xr3:uid="{4288FE60-F1FD-40D2-B8AD-4E9F0BE7EB6A}" name="Liberação de Crédito" dataDxfId="12">
      <calculatedColumnFormula>IF(AND(N2="Negado",O2="Negado"),0, IF(A2="Ativo",M2*8%,0))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9623-EBB7-41F0-B63D-EFB33A384DE0}">
  <dimension ref="A1:E6"/>
  <sheetViews>
    <sheetView workbookViewId="0">
      <selection activeCell="E6" sqref="E6"/>
    </sheetView>
  </sheetViews>
  <sheetFormatPr defaultRowHeight="14.4" x14ac:dyDescent="0.3"/>
  <cols>
    <col min="1" max="1" width="12.88671875" bestFit="1" customWidth="1"/>
    <col min="2" max="2" width="14.77734375" bestFit="1" customWidth="1"/>
    <col min="3" max="3" width="11.21875" bestFit="1" customWidth="1"/>
    <col min="4" max="4" width="15.5546875" bestFit="1" customWidth="1"/>
    <col min="5" max="5" width="13.109375" bestFit="1" customWidth="1"/>
  </cols>
  <sheetData>
    <row r="1" spans="1:5" x14ac:dyDescent="0.3">
      <c r="A1" s="52" t="s">
        <v>66</v>
      </c>
      <c r="B1" s="52"/>
      <c r="C1" s="52"/>
      <c r="D1" s="52"/>
      <c r="E1" s="52"/>
    </row>
    <row r="2" spans="1:5" x14ac:dyDescent="0.3">
      <c r="A2" s="2" t="s">
        <v>67</v>
      </c>
      <c r="B2" s="2" t="s">
        <v>68</v>
      </c>
      <c r="C2" s="2" t="s">
        <v>69</v>
      </c>
      <c r="D2" s="2" t="s">
        <v>70</v>
      </c>
      <c r="E2" s="2" t="s">
        <v>71</v>
      </c>
    </row>
    <row r="3" spans="1:5" x14ac:dyDescent="0.3">
      <c r="A3" s="3">
        <v>2</v>
      </c>
      <c r="B3" s="3" t="s">
        <v>72</v>
      </c>
      <c r="C3" s="3" t="s">
        <v>73</v>
      </c>
      <c r="D3" s="4">
        <v>29.79</v>
      </c>
      <c r="E3" s="3">
        <v>20</v>
      </c>
    </row>
    <row r="4" spans="1:5" x14ac:dyDescent="0.3">
      <c r="A4" s="5">
        <v>1</v>
      </c>
      <c r="B4" s="5" t="s">
        <v>72</v>
      </c>
      <c r="C4" s="5" t="s">
        <v>73</v>
      </c>
      <c r="D4" s="6">
        <v>3.89</v>
      </c>
      <c r="E4" s="5">
        <v>10</v>
      </c>
    </row>
    <row r="5" spans="1:5" x14ac:dyDescent="0.3">
      <c r="A5" s="3">
        <v>3</v>
      </c>
      <c r="B5" s="3" t="s">
        <v>74</v>
      </c>
      <c r="C5" s="3" t="s">
        <v>75</v>
      </c>
      <c r="D5" s="4">
        <v>3.38</v>
      </c>
      <c r="E5" s="3">
        <v>30</v>
      </c>
    </row>
    <row r="6" spans="1:5" x14ac:dyDescent="0.3">
      <c r="A6" s="5">
        <v>4</v>
      </c>
      <c r="B6" s="5" t="s">
        <v>76</v>
      </c>
      <c r="C6" s="5" t="s">
        <v>77</v>
      </c>
      <c r="D6" s="6">
        <v>13.43</v>
      </c>
      <c r="E6" s="5">
        <v>40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10528-DC29-411B-A9D2-E6F9AB2F81F8}">
  <dimension ref="A1:D8"/>
  <sheetViews>
    <sheetView workbookViewId="0">
      <selection activeCell="D3" sqref="D3"/>
    </sheetView>
  </sheetViews>
  <sheetFormatPr defaultColWidth="13.44140625" defaultRowHeight="14.4" x14ac:dyDescent="0.3"/>
  <cols>
    <col min="1" max="1" width="13.5546875" bestFit="1" customWidth="1"/>
    <col min="2" max="2" width="10.109375" bestFit="1" customWidth="1"/>
    <col min="3" max="3" width="9.44140625" bestFit="1" customWidth="1"/>
    <col min="4" max="4" width="11.5546875" bestFit="1" customWidth="1"/>
  </cols>
  <sheetData>
    <row r="1" spans="1:4" x14ac:dyDescent="0.3">
      <c r="A1" s="53" t="s">
        <v>78</v>
      </c>
      <c r="B1" s="53"/>
      <c r="C1" s="53"/>
      <c r="D1" s="53"/>
    </row>
    <row r="2" spans="1:4" x14ac:dyDescent="0.3">
      <c r="A2" s="7" t="s">
        <v>79</v>
      </c>
      <c r="B2" s="7" t="s">
        <v>80</v>
      </c>
      <c r="C2" s="7" t="s">
        <v>81</v>
      </c>
      <c r="D2" s="7" t="s">
        <v>82</v>
      </c>
    </row>
    <row r="3" spans="1:4" x14ac:dyDescent="0.3">
      <c r="A3" s="3" t="s">
        <v>83</v>
      </c>
      <c r="B3" s="3" t="s">
        <v>84</v>
      </c>
      <c r="C3" s="3">
        <v>8</v>
      </c>
      <c r="D3" s="3" t="str">
        <f t="shared" ref="D3:D8" si="0">IF(C3&gt;5,"Ótimo",IF(C3&lt;5,"Péssimo","Regular"))</f>
        <v>Ótimo</v>
      </c>
    </row>
    <row r="4" spans="1:4" x14ac:dyDescent="0.3">
      <c r="A4" s="5" t="s">
        <v>85</v>
      </c>
      <c r="B4" s="5" t="s">
        <v>86</v>
      </c>
      <c r="C4" s="5">
        <v>5</v>
      </c>
      <c r="D4" s="3" t="str">
        <f t="shared" si="0"/>
        <v>Regular</v>
      </c>
    </row>
    <row r="5" spans="1:4" x14ac:dyDescent="0.3">
      <c r="A5" s="3" t="s">
        <v>87</v>
      </c>
      <c r="B5" s="3" t="s">
        <v>88</v>
      </c>
      <c r="C5" s="3">
        <v>9</v>
      </c>
      <c r="D5" s="3" t="str">
        <f t="shared" si="0"/>
        <v>Ótimo</v>
      </c>
    </row>
    <row r="6" spans="1:4" x14ac:dyDescent="0.3">
      <c r="A6" s="5" t="s">
        <v>89</v>
      </c>
      <c r="B6" s="5" t="s">
        <v>90</v>
      </c>
      <c r="C6" s="5">
        <v>4</v>
      </c>
      <c r="D6" s="3" t="str">
        <f t="shared" si="0"/>
        <v>Péssimo</v>
      </c>
    </row>
    <row r="7" spans="1:4" x14ac:dyDescent="0.3">
      <c r="A7" s="3" t="s">
        <v>91</v>
      </c>
      <c r="B7" s="3" t="s">
        <v>92</v>
      </c>
      <c r="C7" s="3">
        <v>6</v>
      </c>
      <c r="D7" s="3" t="str">
        <f t="shared" si="0"/>
        <v>Ótimo</v>
      </c>
    </row>
    <row r="8" spans="1:4" x14ac:dyDescent="0.3">
      <c r="A8" s="5" t="s">
        <v>93</v>
      </c>
      <c r="B8" s="5" t="s">
        <v>94</v>
      </c>
      <c r="C8" s="5">
        <v>3</v>
      </c>
      <c r="D8" s="3" t="str">
        <f t="shared" si="0"/>
        <v>Péssimo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1B3E2-CEE6-4AB7-8179-A05E37ED717F}">
  <dimension ref="A1:G7"/>
  <sheetViews>
    <sheetView workbookViewId="0">
      <selection activeCell="F6" sqref="F6"/>
    </sheetView>
  </sheetViews>
  <sheetFormatPr defaultRowHeight="14.4" x14ac:dyDescent="0.3"/>
  <cols>
    <col min="1" max="1" width="5.5546875" bestFit="1" customWidth="1"/>
    <col min="2" max="2" width="16.44140625" bestFit="1" customWidth="1"/>
    <col min="3" max="5" width="17.21875" bestFit="1" customWidth="1"/>
    <col min="6" max="6" width="12.88671875" bestFit="1" customWidth="1"/>
    <col min="7" max="7" width="11.5546875" bestFit="1" customWidth="1"/>
  </cols>
  <sheetData>
    <row r="1" spans="1:7" x14ac:dyDescent="0.3">
      <c r="A1" s="54" t="s">
        <v>95</v>
      </c>
      <c r="B1" s="54"/>
      <c r="C1" s="54"/>
      <c r="D1" s="54"/>
      <c r="E1" s="54"/>
      <c r="F1" s="54"/>
      <c r="G1" s="54"/>
    </row>
    <row r="2" spans="1:7" x14ac:dyDescent="0.3">
      <c r="A2" s="8" t="s">
        <v>96</v>
      </c>
      <c r="B2" s="8" t="s">
        <v>97</v>
      </c>
      <c r="C2" s="8" t="s">
        <v>98</v>
      </c>
      <c r="D2" s="8" t="s">
        <v>99</v>
      </c>
      <c r="E2" s="8" t="s">
        <v>100</v>
      </c>
      <c r="F2" s="8" t="s">
        <v>101</v>
      </c>
      <c r="G2" s="8" t="s">
        <v>82</v>
      </c>
    </row>
    <row r="3" spans="1:7" x14ac:dyDescent="0.3">
      <c r="A3" s="9">
        <v>2001</v>
      </c>
      <c r="B3" s="9" t="s">
        <v>102</v>
      </c>
      <c r="C3" s="10">
        <v>5</v>
      </c>
      <c r="D3" s="10">
        <v>6</v>
      </c>
      <c r="E3" s="10">
        <v>8</v>
      </c>
      <c r="F3" s="12">
        <f>(C3+D3+E3)/3</f>
        <v>6.333333333333333</v>
      </c>
      <c r="G3" s="11" t="str">
        <f>IF(F3&gt;=6,"Aprovado","Reprovado")</f>
        <v>Aprovado</v>
      </c>
    </row>
    <row r="4" spans="1:7" x14ac:dyDescent="0.3">
      <c r="A4" s="9">
        <v>2002</v>
      </c>
      <c r="B4" s="9" t="s">
        <v>103</v>
      </c>
      <c r="C4" s="10">
        <v>10</v>
      </c>
      <c r="D4" s="10">
        <v>7</v>
      </c>
      <c r="E4" s="10">
        <v>8</v>
      </c>
      <c r="F4" s="12">
        <f t="shared" ref="F4:F7" si="0">(C4+D4+E4)/3</f>
        <v>8.3333333333333339</v>
      </c>
      <c r="G4" s="11" t="str">
        <f>IF(F4&gt;=6,"Aprovado","Reprovado")</f>
        <v>Aprovado</v>
      </c>
    </row>
    <row r="5" spans="1:7" x14ac:dyDescent="0.3">
      <c r="A5" s="9">
        <v>2003</v>
      </c>
      <c r="B5" s="9" t="s">
        <v>104</v>
      </c>
      <c r="C5" s="10">
        <v>5</v>
      </c>
      <c r="D5" s="10">
        <v>2</v>
      </c>
      <c r="E5" s="10">
        <v>8</v>
      </c>
      <c r="F5" s="12">
        <f t="shared" si="0"/>
        <v>5</v>
      </c>
      <c r="G5" s="11" t="str">
        <f>IF(F5&gt;=6,"Aprovado","Reprovado")</f>
        <v>Reprovado</v>
      </c>
    </row>
    <row r="6" spans="1:7" x14ac:dyDescent="0.3">
      <c r="A6" s="9">
        <v>2004</v>
      </c>
      <c r="B6" s="9" t="s">
        <v>105</v>
      </c>
      <c r="C6" s="10">
        <v>2</v>
      </c>
      <c r="D6" s="10">
        <v>1</v>
      </c>
      <c r="E6" s="10">
        <v>3</v>
      </c>
      <c r="F6" s="12">
        <f t="shared" si="0"/>
        <v>2</v>
      </c>
      <c r="G6" s="11" t="str">
        <f>IF(F6&gt;=6,"Aprovado","Reprovado")</f>
        <v>Reprovado</v>
      </c>
    </row>
    <row r="7" spans="1:7" x14ac:dyDescent="0.3">
      <c r="A7" s="9">
        <v>2005</v>
      </c>
      <c r="B7" s="9" t="s">
        <v>106</v>
      </c>
      <c r="C7" s="10">
        <v>4</v>
      </c>
      <c r="D7" s="10">
        <v>7</v>
      </c>
      <c r="E7" s="10">
        <v>8</v>
      </c>
      <c r="F7" s="12">
        <f t="shared" si="0"/>
        <v>6.333333333333333</v>
      </c>
      <c r="G7" s="11" t="str">
        <f>IF(F7&gt;=6,"Aprovado","Reprovado")</f>
        <v>Aprovado</v>
      </c>
    </row>
  </sheetData>
  <mergeCells count="1">
    <mergeCell ref="A1:G1"/>
  </mergeCells>
  <conditionalFormatting sqref="C3:F7">
    <cfRule type="cellIs" dxfId="10" priority="5" operator="lessThan">
      <formula>6</formula>
    </cfRule>
    <cfRule type="cellIs" dxfId="9" priority="7" stopIfTrue="1" operator="greaterThan">
      <formula>5</formula>
    </cfRule>
  </conditionalFormatting>
  <conditionalFormatting sqref="G3:G7">
    <cfRule type="containsText" dxfId="7" priority="4" operator="containsText" text="Reprovado">
      <formula>NOT(ISERROR(SEARCH("Reprovado",G3)))</formula>
    </cfRule>
  </conditionalFormatting>
  <conditionalFormatting sqref="I11">
    <cfRule type="cellIs" dxfId="6" priority="1" operator="greaterThan">
      <formula>5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stopIfTrue="1" operator="containsText" id="{99D4036A-098D-4849-AE81-A98432843F96}">
            <xm:f>NOT(ISERROR(SEARCH("Aprovado",G3)))</xm:f>
            <xm:f>"Aprovado"</xm:f>
            <x14:dxf>
              <font>
                <color theme="9"/>
              </font>
              <numFmt numFmtId="0" formatCode="General"/>
              <fill>
                <patternFill>
                  <fgColor theme="9"/>
                </patternFill>
              </fill>
            </x14:dxf>
          </x14:cfRule>
          <xm:sqref>G3:G7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685D8-993A-43B9-A73B-74FB8F072E79}">
  <dimension ref="A1:G14"/>
  <sheetViews>
    <sheetView workbookViewId="0">
      <selection activeCell="F7" sqref="F7"/>
    </sheetView>
  </sheetViews>
  <sheetFormatPr defaultRowHeight="14.4" x14ac:dyDescent="0.3"/>
  <cols>
    <col min="1" max="1" width="18.77734375" bestFit="1" customWidth="1"/>
    <col min="2" max="2" width="8" bestFit="1" customWidth="1"/>
    <col min="3" max="3" width="14.6640625" bestFit="1" customWidth="1"/>
    <col min="4" max="4" width="14.88671875" bestFit="1" customWidth="1"/>
    <col min="5" max="5" width="27" bestFit="1" customWidth="1"/>
    <col min="6" max="6" width="10.44140625" bestFit="1" customWidth="1"/>
  </cols>
  <sheetData>
    <row r="1" spans="1:7" x14ac:dyDescent="0.3">
      <c r="A1" s="58" t="s">
        <v>107</v>
      </c>
      <c r="B1" s="58"/>
      <c r="C1" s="58"/>
      <c r="D1" s="58"/>
      <c r="E1" s="58"/>
      <c r="F1" s="58"/>
      <c r="G1" s="5"/>
    </row>
    <row r="2" spans="1:7" x14ac:dyDescent="0.3">
      <c r="A2" s="7" t="s">
        <v>108</v>
      </c>
      <c r="B2" s="7" t="s">
        <v>109</v>
      </c>
      <c r="C2" s="7" t="s">
        <v>110</v>
      </c>
      <c r="D2" s="7" t="s">
        <v>111</v>
      </c>
      <c r="E2" s="7" t="s">
        <v>112</v>
      </c>
      <c r="F2" s="7" t="s">
        <v>113</v>
      </c>
      <c r="G2" s="5"/>
    </row>
    <row r="3" spans="1:7" x14ac:dyDescent="0.3">
      <c r="A3" s="3" t="s">
        <v>114</v>
      </c>
      <c r="B3" s="14">
        <v>17</v>
      </c>
      <c r="C3" s="14" t="s">
        <v>14</v>
      </c>
      <c r="D3" s="14" t="s">
        <v>13</v>
      </c>
      <c r="E3" s="14">
        <v>1</v>
      </c>
      <c r="F3" s="15" t="str">
        <f>IF(AND(B3&gt;=17,C3="Sim",D3="Sim",E3&gt;2),"APTO","NÃO APTO")</f>
        <v>NÃO APTO</v>
      </c>
      <c r="G3" s="5"/>
    </row>
    <row r="4" spans="1:7" x14ac:dyDescent="0.3">
      <c r="A4" s="5" t="s">
        <v>115</v>
      </c>
      <c r="B4" s="13">
        <v>24</v>
      </c>
      <c r="C4" s="13" t="s">
        <v>13</v>
      </c>
      <c r="D4" s="13" t="s">
        <v>13</v>
      </c>
      <c r="E4" s="13">
        <v>3</v>
      </c>
      <c r="F4" s="15" t="str">
        <f t="shared" ref="F4:F7" si="0">IF(AND(B4&gt;=17,C4="Sim",D4="Sim",E4&gt;2),"APTO","NÃO APTO")</f>
        <v>APTO</v>
      </c>
      <c r="G4" s="5"/>
    </row>
    <row r="5" spans="1:7" x14ac:dyDescent="0.3">
      <c r="A5" s="3" t="s">
        <v>116</v>
      </c>
      <c r="B5" s="14">
        <v>28</v>
      </c>
      <c r="C5" s="14" t="s">
        <v>13</v>
      </c>
      <c r="D5" s="14" t="s">
        <v>13</v>
      </c>
      <c r="E5" s="14">
        <v>4</v>
      </c>
      <c r="F5" s="15" t="str">
        <f t="shared" si="0"/>
        <v>APTO</v>
      </c>
      <c r="G5" s="5"/>
    </row>
    <row r="6" spans="1:7" x14ac:dyDescent="0.3">
      <c r="A6" s="5" t="s">
        <v>117</v>
      </c>
      <c r="B6" s="13">
        <v>18</v>
      </c>
      <c r="C6" s="13" t="s">
        <v>13</v>
      </c>
      <c r="D6" s="13" t="s">
        <v>14</v>
      </c>
      <c r="E6" s="13">
        <v>1</v>
      </c>
      <c r="F6" s="15" t="str">
        <f t="shared" si="0"/>
        <v>NÃO APTO</v>
      </c>
      <c r="G6" s="5"/>
    </row>
    <row r="7" spans="1:7" x14ac:dyDescent="0.3">
      <c r="A7" s="3" t="s">
        <v>118</v>
      </c>
      <c r="B7" s="14">
        <v>22</v>
      </c>
      <c r="C7" s="14" t="s">
        <v>13</v>
      </c>
      <c r="D7" s="14" t="s">
        <v>13</v>
      </c>
      <c r="E7" s="14">
        <v>2</v>
      </c>
      <c r="F7" s="15" t="str">
        <f t="shared" si="0"/>
        <v>NÃO APTO</v>
      </c>
      <c r="G7" s="5"/>
    </row>
    <row r="8" spans="1:7" x14ac:dyDescent="0.3">
      <c r="A8" s="5"/>
      <c r="B8" s="5"/>
      <c r="C8" s="5"/>
      <c r="D8" s="5"/>
      <c r="E8" s="5"/>
      <c r="F8" s="5"/>
      <c r="G8" s="5"/>
    </row>
    <row r="9" spans="1:7" x14ac:dyDescent="0.3">
      <c r="A9" s="5"/>
      <c r="B9" s="5"/>
      <c r="C9" s="5"/>
      <c r="D9" s="5"/>
      <c r="E9" s="5"/>
      <c r="F9" s="5"/>
      <c r="G9" s="5"/>
    </row>
    <row r="10" spans="1:7" x14ac:dyDescent="0.3">
      <c r="A10" s="59" t="s">
        <v>119</v>
      </c>
      <c r="B10" s="60"/>
      <c r="C10" s="60"/>
      <c r="D10" s="5"/>
      <c r="E10" s="5"/>
      <c r="F10" s="5"/>
      <c r="G10" s="5"/>
    </row>
    <row r="11" spans="1:7" x14ac:dyDescent="0.3">
      <c r="A11" s="61" t="s">
        <v>120</v>
      </c>
      <c r="B11" s="62"/>
      <c r="C11" s="63"/>
      <c r="D11" s="5"/>
      <c r="E11" s="5"/>
      <c r="F11" s="5"/>
      <c r="G11" s="5"/>
    </row>
    <row r="12" spans="1:7" x14ac:dyDescent="0.3">
      <c r="A12" s="61" t="s">
        <v>121</v>
      </c>
      <c r="B12" s="62"/>
      <c r="C12" s="63"/>
      <c r="D12" s="5"/>
      <c r="E12" s="5"/>
      <c r="F12" s="5"/>
      <c r="G12" s="5"/>
    </row>
    <row r="13" spans="1:7" x14ac:dyDescent="0.3">
      <c r="A13" s="61" t="s">
        <v>122</v>
      </c>
      <c r="B13" s="62"/>
      <c r="C13" s="63"/>
      <c r="D13" s="5"/>
      <c r="E13" s="5"/>
      <c r="F13" s="5"/>
      <c r="G13" s="5"/>
    </row>
    <row r="14" spans="1:7" x14ac:dyDescent="0.3">
      <c r="A14" s="55" t="s">
        <v>123</v>
      </c>
      <c r="B14" s="56"/>
      <c r="C14" s="57"/>
      <c r="D14" s="5"/>
      <c r="E14" s="5"/>
      <c r="F14" s="5"/>
      <c r="G14" s="5"/>
    </row>
  </sheetData>
  <mergeCells count="6">
    <mergeCell ref="A14:C14"/>
    <mergeCell ref="A1:F1"/>
    <mergeCell ref="A10:C10"/>
    <mergeCell ref="A11:C11"/>
    <mergeCell ref="A12:C12"/>
    <mergeCell ref="A13:C13"/>
  </mergeCells>
  <conditionalFormatting sqref="F3:F7">
    <cfRule type="cellIs" dxfId="5" priority="1" operator="equal">
      <formula>"APTO"</formula>
    </cfRule>
    <cfRule type="cellIs" dxfId="4" priority="2" operator="equal">
      <formula>"NÃO APTO"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20C0-45D1-4386-A149-3A6F4EC1DD48}">
  <dimension ref="A1:AH401"/>
  <sheetViews>
    <sheetView topLeftCell="F1" workbookViewId="0">
      <pane ySplit="1" topLeftCell="A2" activePane="bottomLeft" state="frozen"/>
      <selection pane="bottomLeft" activeCell="O2" sqref="O2"/>
    </sheetView>
  </sheetViews>
  <sheetFormatPr defaultRowHeight="14.4" x14ac:dyDescent="0.3"/>
  <cols>
    <col min="1" max="1" width="10.5546875" bestFit="1" customWidth="1"/>
    <col min="2" max="2" width="24.109375" bestFit="1" customWidth="1"/>
    <col min="3" max="3" width="14.44140625" bestFit="1" customWidth="1"/>
    <col min="4" max="4" width="7.88671875" bestFit="1" customWidth="1"/>
    <col min="5" max="5" width="20.109375" style="1" bestFit="1" customWidth="1"/>
    <col min="6" max="6" width="25.5546875" bestFit="1" customWidth="1"/>
    <col min="7" max="7" width="21.6640625" bestFit="1" customWidth="1"/>
    <col min="8" max="8" width="15.109375" bestFit="1" customWidth="1"/>
    <col min="9" max="9" width="16.88671875" bestFit="1" customWidth="1"/>
    <col min="10" max="10" width="15.33203125" bestFit="1" customWidth="1"/>
    <col min="11" max="11" width="12.109375" bestFit="1" customWidth="1"/>
    <col min="12" max="12" width="18.5546875" bestFit="1" customWidth="1"/>
    <col min="13" max="13" width="16.5546875" bestFit="1" customWidth="1"/>
    <col min="14" max="14" width="16.77734375" bestFit="1" customWidth="1"/>
    <col min="15" max="15" width="17.109375" bestFit="1" customWidth="1"/>
    <col min="16" max="16" width="20.6640625" bestFit="1" customWidth="1"/>
    <col min="33" max="33" width="17.21875" hidden="1" customWidth="1"/>
    <col min="34" max="34" width="24.88671875" hidden="1" customWidth="1"/>
    <col min="35" max="90" width="3" bestFit="1" customWidth="1"/>
    <col min="91" max="91" width="6.6640625" bestFit="1" customWidth="1"/>
    <col min="92" max="92" width="10" bestFit="1" customWidth="1"/>
  </cols>
  <sheetData>
    <row r="1" spans="1:34" s="16" customFormat="1" x14ac:dyDescent="0.3">
      <c r="A1" s="22" t="s">
        <v>0</v>
      </c>
      <c r="B1" s="21" t="s">
        <v>1</v>
      </c>
      <c r="C1" s="21" t="s">
        <v>2</v>
      </c>
      <c r="D1" s="21" t="s">
        <v>3</v>
      </c>
      <c r="E1" s="30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63</v>
      </c>
      <c r="O1" s="31" t="s">
        <v>64</v>
      </c>
      <c r="P1" s="32" t="s">
        <v>65</v>
      </c>
    </row>
    <row r="2" spans="1:34" x14ac:dyDescent="0.3">
      <c r="A2" s="22" t="s">
        <v>171</v>
      </c>
      <c r="B2" s="21" t="s">
        <v>173</v>
      </c>
      <c r="C2" s="43">
        <v>24000</v>
      </c>
      <c r="D2" s="22">
        <v>47</v>
      </c>
      <c r="E2" s="23">
        <v>29031</v>
      </c>
      <c r="F2" s="21" t="s">
        <v>131</v>
      </c>
      <c r="G2" s="21" t="s">
        <v>27</v>
      </c>
      <c r="H2" s="24">
        <v>28400</v>
      </c>
      <c r="I2" s="25">
        <v>78000</v>
      </c>
      <c r="J2" s="21">
        <v>37</v>
      </c>
      <c r="K2" s="21" t="str">
        <f t="shared" ref="K2:K65" si="0">IF(J2&gt;25,"Alto", IF(J2&lt;=10,"Baixo","Médio"))</f>
        <v>Alto</v>
      </c>
      <c r="L2" s="21" t="s">
        <v>14</v>
      </c>
      <c r="M2" s="25">
        <v>99000</v>
      </c>
      <c r="N2" s="21" t="str">
        <f t="shared" ref="N2:N20" si="1">IF(AND(K2="Alto",L2="Sim"),"Negado","Aprovado")</f>
        <v>Aprovado</v>
      </c>
      <c r="O2" s="21" t="str">
        <f t="shared" ref="O2:O65" si="2">IF(AND(I2&gt;50000,L2="Sim"),"Negado","Aprovado")</f>
        <v>Aprovado</v>
      </c>
      <c r="P2" s="28">
        <f t="shared" ref="P2:P65" si="3">IF(AND(N2="Negado",O2="Negado"),0, IF(A2="Ativo",M2*8%,0))</f>
        <v>7920</v>
      </c>
      <c r="AG2" s="27" t="s">
        <v>127</v>
      </c>
      <c r="AH2" t="s">
        <v>129</v>
      </c>
    </row>
    <row r="3" spans="1:34" x14ac:dyDescent="0.3">
      <c r="A3" s="20" t="s">
        <v>171</v>
      </c>
      <c r="B3" s="16" t="s">
        <v>174</v>
      </c>
      <c r="C3" s="44">
        <v>11800</v>
      </c>
      <c r="D3" s="20">
        <v>69</v>
      </c>
      <c r="E3" s="17">
        <v>21054</v>
      </c>
      <c r="F3" s="16" t="s">
        <v>132</v>
      </c>
      <c r="G3" s="16" t="s">
        <v>23</v>
      </c>
      <c r="H3" s="18">
        <v>23800</v>
      </c>
      <c r="I3" s="19">
        <v>0</v>
      </c>
      <c r="J3" s="16">
        <v>26</v>
      </c>
      <c r="K3" s="16" t="str">
        <f t="shared" si="0"/>
        <v>Alto</v>
      </c>
      <c r="L3" s="16" t="s">
        <v>62</v>
      </c>
      <c r="M3" s="19">
        <v>89000</v>
      </c>
      <c r="N3" s="16" t="str">
        <f t="shared" si="1"/>
        <v>Aprovado</v>
      </c>
      <c r="O3" s="16" t="str">
        <f t="shared" si="2"/>
        <v>Aprovado</v>
      </c>
      <c r="P3" s="29">
        <f t="shared" si="3"/>
        <v>7120</v>
      </c>
      <c r="AG3" s="26">
        <v>18</v>
      </c>
      <c r="AH3">
        <v>3</v>
      </c>
    </row>
    <row r="4" spans="1:34" x14ac:dyDescent="0.3">
      <c r="A4" s="20" t="s">
        <v>171</v>
      </c>
      <c r="B4" s="16" t="s">
        <v>175</v>
      </c>
      <c r="C4" s="44">
        <v>24400</v>
      </c>
      <c r="D4" s="20">
        <v>69</v>
      </c>
      <c r="E4" s="17">
        <v>20725</v>
      </c>
      <c r="F4" s="16" t="s">
        <v>157</v>
      </c>
      <c r="G4" s="16" t="s">
        <v>16</v>
      </c>
      <c r="H4" s="18">
        <v>8100</v>
      </c>
      <c r="I4" s="19">
        <v>27500</v>
      </c>
      <c r="J4" s="16">
        <v>42</v>
      </c>
      <c r="K4" s="16" t="str">
        <f t="shared" si="0"/>
        <v>Alto</v>
      </c>
      <c r="L4" s="16" t="s">
        <v>14</v>
      </c>
      <c r="M4" s="19">
        <v>72500</v>
      </c>
      <c r="N4" s="16" t="str">
        <f t="shared" si="1"/>
        <v>Aprovado</v>
      </c>
      <c r="O4" s="16" t="str">
        <f t="shared" si="2"/>
        <v>Aprovado</v>
      </c>
      <c r="P4" s="29">
        <f t="shared" si="3"/>
        <v>5800</v>
      </c>
      <c r="AG4" s="26">
        <v>19</v>
      </c>
      <c r="AH4">
        <v>5</v>
      </c>
    </row>
    <row r="5" spans="1:34" x14ac:dyDescent="0.3">
      <c r="A5" s="20" t="s">
        <v>171</v>
      </c>
      <c r="B5" s="16" t="s">
        <v>176</v>
      </c>
      <c r="C5" s="44">
        <v>33000</v>
      </c>
      <c r="D5" s="20">
        <v>36</v>
      </c>
      <c r="E5" s="17">
        <v>32908</v>
      </c>
      <c r="F5" s="16" t="s">
        <v>133</v>
      </c>
      <c r="G5" s="16" t="s">
        <v>27</v>
      </c>
      <c r="H5" s="19">
        <v>16600</v>
      </c>
      <c r="I5" s="19">
        <v>23500</v>
      </c>
      <c r="J5" s="16">
        <v>10</v>
      </c>
      <c r="K5" s="16" t="str">
        <f t="shared" si="0"/>
        <v>Baixo</v>
      </c>
      <c r="L5" s="16" t="s">
        <v>14</v>
      </c>
      <c r="M5" s="19">
        <v>21500</v>
      </c>
      <c r="N5" s="16" t="str">
        <f t="shared" si="1"/>
        <v>Aprovado</v>
      </c>
      <c r="O5" s="16" t="str">
        <f t="shared" si="2"/>
        <v>Aprovado</v>
      </c>
      <c r="P5" s="29">
        <f t="shared" si="3"/>
        <v>1720</v>
      </c>
      <c r="AG5" s="26">
        <v>20</v>
      </c>
      <c r="AH5">
        <v>4</v>
      </c>
    </row>
    <row r="6" spans="1:34" x14ac:dyDescent="0.3">
      <c r="A6" s="20" t="s">
        <v>172</v>
      </c>
      <c r="B6" s="16" t="s">
        <v>177</v>
      </c>
      <c r="C6" s="44">
        <v>0</v>
      </c>
      <c r="D6" s="20">
        <v>55</v>
      </c>
      <c r="E6" s="17">
        <v>25895</v>
      </c>
      <c r="F6" s="16" t="s">
        <v>133</v>
      </c>
      <c r="G6" s="16" t="s">
        <v>27</v>
      </c>
      <c r="H6" s="18">
        <v>6800</v>
      </c>
      <c r="I6" s="19">
        <v>12000</v>
      </c>
      <c r="J6" s="16">
        <v>6</v>
      </c>
      <c r="K6" s="16" t="str">
        <f t="shared" si="0"/>
        <v>Baixo</v>
      </c>
      <c r="L6" s="16" t="s">
        <v>14</v>
      </c>
      <c r="M6" s="19">
        <v>11000</v>
      </c>
      <c r="N6" s="16" t="str">
        <f t="shared" si="1"/>
        <v>Aprovado</v>
      </c>
      <c r="O6" s="16" t="str">
        <f t="shared" si="2"/>
        <v>Aprovado</v>
      </c>
      <c r="P6" s="29">
        <f t="shared" si="3"/>
        <v>0</v>
      </c>
      <c r="AG6" s="26">
        <v>21</v>
      </c>
      <c r="AH6">
        <v>2</v>
      </c>
    </row>
    <row r="7" spans="1:34" x14ac:dyDescent="0.3">
      <c r="A7" s="20" t="s">
        <v>171</v>
      </c>
      <c r="B7" s="16" t="s">
        <v>178</v>
      </c>
      <c r="C7" s="44">
        <v>33800</v>
      </c>
      <c r="D7" s="20">
        <v>56</v>
      </c>
      <c r="E7" s="17">
        <v>25525</v>
      </c>
      <c r="F7" s="16" t="s">
        <v>21</v>
      </c>
      <c r="G7" s="16" t="s">
        <v>21</v>
      </c>
      <c r="H7" s="18">
        <v>11100</v>
      </c>
      <c r="I7" s="19">
        <v>63000</v>
      </c>
      <c r="J7" s="16">
        <v>0</v>
      </c>
      <c r="K7" s="16" t="str">
        <f t="shared" si="0"/>
        <v>Baixo</v>
      </c>
      <c r="L7" s="16" t="s">
        <v>14</v>
      </c>
      <c r="M7" s="19">
        <v>56000</v>
      </c>
      <c r="N7" s="16" t="str">
        <f t="shared" si="1"/>
        <v>Aprovado</v>
      </c>
      <c r="O7" s="16" t="str">
        <f t="shared" si="2"/>
        <v>Aprovado</v>
      </c>
      <c r="P7" s="29">
        <f t="shared" si="3"/>
        <v>4480</v>
      </c>
      <c r="AG7" s="26">
        <v>22</v>
      </c>
      <c r="AH7">
        <v>6</v>
      </c>
    </row>
    <row r="8" spans="1:34" x14ac:dyDescent="0.3">
      <c r="A8" s="20" t="s">
        <v>172</v>
      </c>
      <c r="B8" s="16" t="s">
        <v>179</v>
      </c>
      <c r="C8" s="44">
        <v>0</v>
      </c>
      <c r="D8" s="20">
        <v>45</v>
      </c>
      <c r="E8" s="17">
        <v>29506</v>
      </c>
      <c r="F8" s="16" t="s">
        <v>134</v>
      </c>
      <c r="G8" s="16" t="s">
        <v>15</v>
      </c>
      <c r="H8" s="18">
        <v>5100</v>
      </c>
      <c r="I8" s="19">
        <v>25000</v>
      </c>
      <c r="J8" s="16">
        <v>29</v>
      </c>
      <c r="K8" s="16" t="str">
        <f t="shared" si="0"/>
        <v>Alto</v>
      </c>
      <c r="L8" s="16" t="s">
        <v>14</v>
      </c>
      <c r="M8" s="19">
        <v>88000</v>
      </c>
      <c r="N8" s="16" t="str">
        <f t="shared" si="1"/>
        <v>Aprovado</v>
      </c>
      <c r="O8" s="16" t="str">
        <f t="shared" si="2"/>
        <v>Aprovado</v>
      </c>
      <c r="P8" s="29">
        <f t="shared" si="3"/>
        <v>0</v>
      </c>
      <c r="AG8" s="26">
        <v>23</v>
      </c>
      <c r="AH8">
        <v>4</v>
      </c>
    </row>
    <row r="9" spans="1:34" x14ac:dyDescent="0.3">
      <c r="A9" s="20" t="s">
        <v>171</v>
      </c>
      <c r="B9" s="16" t="s">
        <v>180</v>
      </c>
      <c r="C9" s="44">
        <v>0</v>
      </c>
      <c r="D9" s="20">
        <v>65</v>
      </c>
      <c r="E9" s="17">
        <v>22337</v>
      </c>
      <c r="F9" s="16" t="s">
        <v>135</v>
      </c>
      <c r="G9" s="16" t="s">
        <v>17</v>
      </c>
      <c r="H9" s="18">
        <v>3800</v>
      </c>
      <c r="I9" s="19">
        <v>49500</v>
      </c>
      <c r="J9" s="16">
        <v>16</v>
      </c>
      <c r="K9" s="16" t="str">
        <f t="shared" si="0"/>
        <v>Médio</v>
      </c>
      <c r="L9" s="16" t="s">
        <v>14</v>
      </c>
      <c r="M9" s="19">
        <v>15500</v>
      </c>
      <c r="N9" s="16" t="str">
        <f t="shared" si="1"/>
        <v>Aprovado</v>
      </c>
      <c r="O9" s="16" t="str">
        <f t="shared" si="2"/>
        <v>Aprovado</v>
      </c>
      <c r="P9" s="29">
        <f t="shared" si="3"/>
        <v>1240</v>
      </c>
      <c r="AG9" s="26">
        <v>24</v>
      </c>
      <c r="AH9">
        <v>10</v>
      </c>
    </row>
    <row r="10" spans="1:34" x14ac:dyDescent="0.3">
      <c r="A10" s="20" t="s">
        <v>171</v>
      </c>
      <c r="B10" s="16" t="s">
        <v>181</v>
      </c>
      <c r="C10" s="44">
        <v>34700</v>
      </c>
      <c r="D10" s="20">
        <v>19</v>
      </c>
      <c r="E10" s="17">
        <v>39016</v>
      </c>
      <c r="F10" s="16" t="s">
        <v>136</v>
      </c>
      <c r="G10" s="16" t="s">
        <v>28</v>
      </c>
      <c r="H10" s="18">
        <v>14900</v>
      </c>
      <c r="I10" s="19">
        <v>17000</v>
      </c>
      <c r="J10" s="16">
        <v>20</v>
      </c>
      <c r="K10" s="16" t="str">
        <f t="shared" si="0"/>
        <v>Médio</v>
      </c>
      <c r="L10" s="16" t="s">
        <v>14</v>
      </c>
      <c r="M10" s="19">
        <v>29500</v>
      </c>
      <c r="N10" s="16" t="str">
        <f t="shared" si="1"/>
        <v>Aprovado</v>
      </c>
      <c r="O10" s="16" t="str">
        <f t="shared" si="2"/>
        <v>Aprovado</v>
      </c>
      <c r="P10" s="29">
        <f t="shared" si="3"/>
        <v>2360</v>
      </c>
      <c r="AG10" s="26">
        <v>25</v>
      </c>
      <c r="AH10">
        <v>11</v>
      </c>
    </row>
    <row r="11" spans="1:34" x14ac:dyDescent="0.3">
      <c r="A11" s="20" t="s">
        <v>172</v>
      </c>
      <c r="B11" s="16" t="s">
        <v>182</v>
      </c>
      <c r="C11" s="44">
        <v>35600</v>
      </c>
      <c r="D11" s="20">
        <v>66</v>
      </c>
      <c r="E11" s="17">
        <v>22101</v>
      </c>
      <c r="F11" s="16" t="s">
        <v>133</v>
      </c>
      <c r="G11" s="16" t="s">
        <v>27</v>
      </c>
      <c r="H11" s="18">
        <v>16800</v>
      </c>
      <c r="I11" s="19">
        <v>79500</v>
      </c>
      <c r="J11" s="16">
        <v>36</v>
      </c>
      <c r="K11" s="16" t="str">
        <f t="shared" si="0"/>
        <v>Alto</v>
      </c>
      <c r="L11" s="16" t="s">
        <v>14</v>
      </c>
      <c r="M11" s="19">
        <v>1500</v>
      </c>
      <c r="N11" s="16" t="str">
        <f t="shared" si="1"/>
        <v>Aprovado</v>
      </c>
      <c r="O11" s="16" t="str">
        <f t="shared" si="2"/>
        <v>Aprovado</v>
      </c>
      <c r="P11" s="29">
        <f t="shared" si="3"/>
        <v>0</v>
      </c>
      <c r="AG11" s="26">
        <v>26</v>
      </c>
      <c r="AH11">
        <v>14</v>
      </c>
    </row>
    <row r="12" spans="1:34" x14ac:dyDescent="0.3">
      <c r="A12" s="20" t="s">
        <v>171</v>
      </c>
      <c r="B12" s="16" t="s">
        <v>183</v>
      </c>
      <c r="C12" s="44">
        <v>7200</v>
      </c>
      <c r="D12" s="20">
        <v>72</v>
      </c>
      <c r="E12" s="17" t="s">
        <v>56</v>
      </c>
      <c r="F12" s="16" t="s">
        <v>134</v>
      </c>
      <c r="G12" s="16" t="s">
        <v>15</v>
      </c>
      <c r="H12" s="19">
        <v>27100</v>
      </c>
      <c r="I12" s="19">
        <v>71000</v>
      </c>
      <c r="J12" s="16">
        <v>32</v>
      </c>
      <c r="K12" s="16" t="str">
        <f t="shared" si="0"/>
        <v>Alto</v>
      </c>
      <c r="L12" s="16" t="s">
        <v>14</v>
      </c>
      <c r="M12" s="19">
        <v>29500</v>
      </c>
      <c r="N12" s="16" t="str">
        <f t="shared" si="1"/>
        <v>Aprovado</v>
      </c>
      <c r="O12" s="16" t="str">
        <f t="shared" si="2"/>
        <v>Aprovado</v>
      </c>
      <c r="P12" s="29">
        <f t="shared" si="3"/>
        <v>2360</v>
      </c>
      <c r="AG12" s="26">
        <v>27</v>
      </c>
      <c r="AH12">
        <v>9</v>
      </c>
    </row>
    <row r="13" spans="1:34" x14ac:dyDescent="0.3">
      <c r="A13" s="20" t="s">
        <v>171</v>
      </c>
      <c r="B13" s="16" t="s">
        <v>184</v>
      </c>
      <c r="C13" s="44">
        <v>13300</v>
      </c>
      <c r="D13" s="20">
        <v>24</v>
      </c>
      <c r="E13" s="17">
        <v>37172</v>
      </c>
      <c r="F13" s="16" t="s">
        <v>137</v>
      </c>
      <c r="G13" s="16" t="s">
        <v>36</v>
      </c>
      <c r="H13" s="18">
        <v>21600</v>
      </c>
      <c r="I13" s="19">
        <v>25000</v>
      </c>
      <c r="J13" s="16">
        <v>33</v>
      </c>
      <c r="K13" s="16" t="str">
        <f t="shared" si="0"/>
        <v>Alto</v>
      </c>
      <c r="L13" s="16" t="s">
        <v>14</v>
      </c>
      <c r="M13" s="19">
        <v>17500</v>
      </c>
      <c r="N13" s="16" t="str">
        <f t="shared" si="1"/>
        <v>Aprovado</v>
      </c>
      <c r="O13" s="16" t="str">
        <f t="shared" si="2"/>
        <v>Aprovado</v>
      </c>
      <c r="P13" s="29">
        <f t="shared" si="3"/>
        <v>1400</v>
      </c>
      <c r="AG13" s="26">
        <v>28</v>
      </c>
      <c r="AH13">
        <v>5</v>
      </c>
    </row>
    <row r="14" spans="1:34" x14ac:dyDescent="0.3">
      <c r="A14" s="20" t="s">
        <v>171</v>
      </c>
      <c r="B14" s="16" t="s">
        <v>185</v>
      </c>
      <c r="C14" s="44">
        <v>33300</v>
      </c>
      <c r="D14" s="20">
        <v>21</v>
      </c>
      <c r="E14" s="17">
        <v>38323</v>
      </c>
      <c r="F14" s="16" t="s">
        <v>157</v>
      </c>
      <c r="G14" s="16" t="s">
        <v>16</v>
      </c>
      <c r="H14" s="18">
        <v>3800</v>
      </c>
      <c r="I14" s="19">
        <v>0</v>
      </c>
      <c r="J14" s="16">
        <v>25</v>
      </c>
      <c r="K14" s="16" t="str">
        <f t="shared" si="0"/>
        <v>Médio</v>
      </c>
      <c r="L14" s="16" t="s">
        <v>14</v>
      </c>
      <c r="M14" s="19">
        <v>50000</v>
      </c>
      <c r="N14" s="16" t="str">
        <f t="shared" si="1"/>
        <v>Aprovado</v>
      </c>
      <c r="O14" s="16" t="str">
        <f t="shared" si="2"/>
        <v>Aprovado</v>
      </c>
      <c r="P14" s="29">
        <f t="shared" si="3"/>
        <v>4000</v>
      </c>
      <c r="AG14" s="26">
        <v>29</v>
      </c>
      <c r="AH14">
        <v>9</v>
      </c>
    </row>
    <row r="15" spans="1:34" x14ac:dyDescent="0.3">
      <c r="A15" s="20" t="s">
        <v>172</v>
      </c>
      <c r="B15" s="16" t="s">
        <v>186</v>
      </c>
      <c r="C15" s="44">
        <v>12200</v>
      </c>
      <c r="D15" s="20">
        <v>49</v>
      </c>
      <c r="E15" s="17">
        <v>28049</v>
      </c>
      <c r="F15" s="16" t="s">
        <v>135</v>
      </c>
      <c r="G15" s="16" t="s">
        <v>17</v>
      </c>
      <c r="H15" s="18">
        <v>25200</v>
      </c>
      <c r="I15" s="19">
        <v>59500</v>
      </c>
      <c r="J15" s="16">
        <v>37</v>
      </c>
      <c r="K15" s="16" t="str">
        <f t="shared" si="0"/>
        <v>Alto</v>
      </c>
      <c r="L15" s="16" t="s">
        <v>14</v>
      </c>
      <c r="M15" s="19">
        <v>86500</v>
      </c>
      <c r="N15" s="16" t="str">
        <f t="shared" si="1"/>
        <v>Aprovado</v>
      </c>
      <c r="O15" s="16" t="str">
        <f t="shared" si="2"/>
        <v>Aprovado</v>
      </c>
      <c r="P15" s="29">
        <f t="shared" si="3"/>
        <v>0</v>
      </c>
      <c r="AG15" s="26">
        <v>30</v>
      </c>
      <c r="AH15">
        <v>5</v>
      </c>
    </row>
    <row r="16" spans="1:34" x14ac:dyDescent="0.3">
      <c r="A16" s="20" t="s">
        <v>171</v>
      </c>
      <c r="B16" s="16" t="s">
        <v>187</v>
      </c>
      <c r="C16" s="44">
        <v>19500</v>
      </c>
      <c r="D16" s="20">
        <v>70</v>
      </c>
      <c r="E16" s="17">
        <v>20570</v>
      </c>
      <c r="F16" s="16" t="s">
        <v>138</v>
      </c>
      <c r="G16" s="16" t="s">
        <v>27</v>
      </c>
      <c r="H16" s="18">
        <v>16300</v>
      </c>
      <c r="I16" s="19">
        <v>16500</v>
      </c>
      <c r="J16" s="16">
        <v>25</v>
      </c>
      <c r="K16" s="16" t="str">
        <f t="shared" si="0"/>
        <v>Médio</v>
      </c>
      <c r="L16" s="16" t="s">
        <v>14</v>
      </c>
      <c r="M16" s="19">
        <v>65500</v>
      </c>
      <c r="N16" s="16" t="str">
        <f t="shared" si="1"/>
        <v>Aprovado</v>
      </c>
      <c r="O16" s="16" t="str">
        <f t="shared" si="2"/>
        <v>Aprovado</v>
      </c>
      <c r="P16" s="29">
        <f t="shared" si="3"/>
        <v>5240</v>
      </c>
      <c r="AG16" s="26">
        <v>31</v>
      </c>
      <c r="AH16">
        <v>8</v>
      </c>
    </row>
    <row r="17" spans="1:34" x14ac:dyDescent="0.3">
      <c r="A17" s="20" t="s">
        <v>171</v>
      </c>
      <c r="B17" s="16" t="s">
        <v>188</v>
      </c>
      <c r="C17" s="44">
        <v>8500</v>
      </c>
      <c r="D17" s="20">
        <v>50</v>
      </c>
      <c r="E17" s="17">
        <v>27886</v>
      </c>
      <c r="F17" s="16" t="s">
        <v>21</v>
      </c>
      <c r="G17" s="16" t="s">
        <v>21</v>
      </c>
      <c r="H17" s="18">
        <v>16100</v>
      </c>
      <c r="I17" s="19">
        <v>8000</v>
      </c>
      <c r="J17" s="16">
        <v>30</v>
      </c>
      <c r="K17" s="16" t="str">
        <f t="shared" si="0"/>
        <v>Alto</v>
      </c>
      <c r="L17" s="16" t="s">
        <v>13</v>
      </c>
      <c r="M17" s="19">
        <v>27000</v>
      </c>
      <c r="N17" s="16" t="str">
        <f t="shared" si="1"/>
        <v>Negado</v>
      </c>
      <c r="O17" s="16" t="str">
        <f t="shared" si="2"/>
        <v>Aprovado</v>
      </c>
      <c r="P17" s="29">
        <f t="shared" si="3"/>
        <v>2160</v>
      </c>
      <c r="AG17" s="26">
        <v>32</v>
      </c>
      <c r="AH17">
        <v>6</v>
      </c>
    </row>
    <row r="18" spans="1:34" x14ac:dyDescent="0.3">
      <c r="A18" s="20" t="s">
        <v>172</v>
      </c>
      <c r="B18" s="16" t="s">
        <v>189</v>
      </c>
      <c r="C18" s="44">
        <v>0</v>
      </c>
      <c r="D18" s="20">
        <v>51</v>
      </c>
      <c r="E18" s="17">
        <v>27590</v>
      </c>
      <c r="F18" s="16" t="s">
        <v>135</v>
      </c>
      <c r="G18" s="16" t="s">
        <v>17</v>
      </c>
      <c r="H18" s="18">
        <v>19400</v>
      </c>
      <c r="I18" s="19">
        <v>4000</v>
      </c>
      <c r="J18" s="16">
        <v>30</v>
      </c>
      <c r="K18" s="16" t="str">
        <f t="shared" si="0"/>
        <v>Alto</v>
      </c>
      <c r="L18" s="16" t="s">
        <v>14</v>
      </c>
      <c r="M18" s="19">
        <v>38500</v>
      </c>
      <c r="N18" s="16" t="str">
        <f t="shared" si="1"/>
        <v>Aprovado</v>
      </c>
      <c r="O18" s="16" t="str">
        <f t="shared" si="2"/>
        <v>Aprovado</v>
      </c>
      <c r="P18" s="29">
        <f t="shared" si="3"/>
        <v>0</v>
      </c>
      <c r="AG18" s="26">
        <v>33</v>
      </c>
      <c r="AH18">
        <v>13</v>
      </c>
    </row>
    <row r="19" spans="1:34" x14ac:dyDescent="0.3">
      <c r="A19" s="20" t="s">
        <v>171</v>
      </c>
      <c r="B19" s="16" t="s">
        <v>190</v>
      </c>
      <c r="C19" s="44">
        <v>36300</v>
      </c>
      <c r="D19" s="20">
        <v>33</v>
      </c>
      <c r="E19" s="17">
        <v>34144</v>
      </c>
      <c r="F19" s="16" t="s">
        <v>139</v>
      </c>
      <c r="G19" s="16" t="s">
        <v>18</v>
      </c>
      <c r="H19" s="18">
        <v>21500</v>
      </c>
      <c r="I19" s="19">
        <v>0</v>
      </c>
      <c r="J19" s="16">
        <v>22</v>
      </c>
      <c r="K19" s="16" t="str">
        <f t="shared" si="0"/>
        <v>Médio</v>
      </c>
      <c r="L19" s="16" t="s">
        <v>14</v>
      </c>
      <c r="M19" s="19">
        <v>51500</v>
      </c>
      <c r="N19" s="16" t="str">
        <f t="shared" si="1"/>
        <v>Aprovado</v>
      </c>
      <c r="O19" s="16" t="str">
        <f t="shared" si="2"/>
        <v>Aprovado</v>
      </c>
      <c r="P19" s="29">
        <f t="shared" si="3"/>
        <v>4120</v>
      </c>
      <c r="AG19" s="26">
        <v>34</v>
      </c>
      <c r="AH19">
        <v>4</v>
      </c>
    </row>
    <row r="20" spans="1:34" x14ac:dyDescent="0.3">
      <c r="A20" s="20" t="s">
        <v>172</v>
      </c>
      <c r="B20" s="16" t="s">
        <v>191</v>
      </c>
      <c r="C20" s="44">
        <v>35700</v>
      </c>
      <c r="D20" s="20">
        <v>29</v>
      </c>
      <c r="E20" s="17">
        <v>35607</v>
      </c>
      <c r="F20" s="16" t="s">
        <v>140</v>
      </c>
      <c r="G20" s="16" t="s">
        <v>17</v>
      </c>
      <c r="H20" s="18">
        <v>13800</v>
      </c>
      <c r="I20" s="19">
        <v>41500</v>
      </c>
      <c r="J20" s="16">
        <v>34</v>
      </c>
      <c r="K20" s="16" t="str">
        <f t="shared" si="0"/>
        <v>Alto</v>
      </c>
      <c r="L20" s="16" t="s">
        <v>14</v>
      </c>
      <c r="M20" s="19">
        <v>66000</v>
      </c>
      <c r="N20" s="16" t="str">
        <f t="shared" si="1"/>
        <v>Aprovado</v>
      </c>
      <c r="O20" s="16" t="str">
        <f t="shared" si="2"/>
        <v>Aprovado</v>
      </c>
      <c r="P20" s="29">
        <f t="shared" si="3"/>
        <v>0</v>
      </c>
      <c r="AG20" s="26">
        <v>35</v>
      </c>
      <c r="AH20">
        <v>12</v>
      </c>
    </row>
    <row r="21" spans="1:34" x14ac:dyDescent="0.3">
      <c r="A21" s="20" t="s">
        <v>171</v>
      </c>
      <c r="B21" s="16" t="s">
        <v>192</v>
      </c>
      <c r="C21" s="44">
        <v>0</v>
      </c>
      <c r="D21" s="20">
        <v>35</v>
      </c>
      <c r="E21" s="17">
        <v>33444</v>
      </c>
      <c r="F21" s="16" t="s">
        <v>139</v>
      </c>
      <c r="G21" s="16" t="s">
        <v>18</v>
      </c>
      <c r="H21" s="18">
        <v>8400</v>
      </c>
      <c r="I21" s="19">
        <v>62500</v>
      </c>
      <c r="J21" s="16">
        <v>31</v>
      </c>
      <c r="K21" s="16" t="str">
        <f t="shared" si="0"/>
        <v>Alto</v>
      </c>
      <c r="L21" s="16" t="s">
        <v>14</v>
      </c>
      <c r="M21" s="19">
        <v>83500</v>
      </c>
      <c r="N21" s="16" t="str">
        <f t="shared" ref="N21:N84" si="4">IF(AND(K21="Alto",L21="Sim"),"Negado","Aprovado")</f>
        <v>Aprovado</v>
      </c>
      <c r="O21" s="16" t="str">
        <f t="shared" si="2"/>
        <v>Aprovado</v>
      </c>
      <c r="P21" s="29">
        <f t="shared" si="3"/>
        <v>6680</v>
      </c>
      <c r="AG21" s="26">
        <v>36</v>
      </c>
      <c r="AH21">
        <v>6</v>
      </c>
    </row>
    <row r="22" spans="1:34" x14ac:dyDescent="0.3">
      <c r="A22" s="20" t="s">
        <v>171</v>
      </c>
      <c r="B22" s="16" t="s">
        <v>193</v>
      </c>
      <c r="C22" s="44">
        <v>8600</v>
      </c>
      <c r="D22" s="20">
        <f ca="1">DATEDIF(E22,TODAY(),"Y")</f>
        <v>38</v>
      </c>
      <c r="E22" s="17">
        <v>32260</v>
      </c>
      <c r="F22" s="16" t="s">
        <v>136</v>
      </c>
      <c r="G22" s="16" t="s">
        <v>28</v>
      </c>
      <c r="H22" s="18">
        <v>17600</v>
      </c>
      <c r="I22" s="19">
        <v>0</v>
      </c>
      <c r="J22" s="16">
        <v>31</v>
      </c>
      <c r="K22" s="16" t="str">
        <f t="shared" si="0"/>
        <v>Alto</v>
      </c>
      <c r="L22" s="16" t="s">
        <v>13</v>
      </c>
      <c r="M22" s="19">
        <v>47500</v>
      </c>
      <c r="N22" s="16" t="str">
        <f t="shared" si="4"/>
        <v>Negado</v>
      </c>
      <c r="O22" s="16" t="str">
        <f t="shared" si="2"/>
        <v>Aprovado</v>
      </c>
      <c r="P22" s="29">
        <f t="shared" si="3"/>
        <v>3800</v>
      </c>
      <c r="AG22" s="26">
        <v>37</v>
      </c>
      <c r="AH22">
        <v>7</v>
      </c>
    </row>
    <row r="23" spans="1:34" x14ac:dyDescent="0.3">
      <c r="A23" s="20" t="s">
        <v>171</v>
      </c>
      <c r="B23" s="16" t="s">
        <v>193</v>
      </c>
      <c r="C23" s="44">
        <v>600</v>
      </c>
      <c r="D23" s="20">
        <v>59</v>
      </c>
      <c r="E23" s="17">
        <v>24710</v>
      </c>
      <c r="F23" s="16" t="s">
        <v>157</v>
      </c>
      <c r="G23" s="16" t="s">
        <v>163</v>
      </c>
      <c r="H23" s="18">
        <v>19900</v>
      </c>
      <c r="I23" s="19">
        <v>55000</v>
      </c>
      <c r="J23" s="16">
        <v>26</v>
      </c>
      <c r="K23" s="16" t="str">
        <f t="shared" si="0"/>
        <v>Alto</v>
      </c>
      <c r="L23" s="16" t="s">
        <v>14</v>
      </c>
      <c r="M23" s="19">
        <v>100000</v>
      </c>
      <c r="N23" s="16" t="str">
        <f t="shared" si="4"/>
        <v>Aprovado</v>
      </c>
      <c r="O23" s="16" t="str">
        <f t="shared" si="2"/>
        <v>Aprovado</v>
      </c>
      <c r="P23" s="29">
        <f t="shared" si="3"/>
        <v>8000</v>
      </c>
      <c r="AG23" s="26">
        <v>38</v>
      </c>
      <c r="AH23">
        <v>7</v>
      </c>
    </row>
    <row r="24" spans="1:34" x14ac:dyDescent="0.3">
      <c r="A24" s="20" t="s">
        <v>171</v>
      </c>
      <c r="B24" s="16" t="s">
        <v>194</v>
      </c>
      <c r="C24" s="44">
        <v>17200</v>
      </c>
      <c r="D24" s="20">
        <v>37</v>
      </c>
      <c r="E24" s="17">
        <v>32680</v>
      </c>
      <c r="F24" s="16" t="s">
        <v>138</v>
      </c>
      <c r="G24" s="16" t="s">
        <v>27</v>
      </c>
      <c r="H24" s="18">
        <v>28900</v>
      </c>
      <c r="I24" s="19">
        <v>71000</v>
      </c>
      <c r="J24" s="16">
        <v>28</v>
      </c>
      <c r="K24" s="16" t="str">
        <f t="shared" si="0"/>
        <v>Alto</v>
      </c>
      <c r="L24" s="16" t="s">
        <v>14</v>
      </c>
      <c r="M24" s="19">
        <v>36500</v>
      </c>
      <c r="N24" s="16" t="str">
        <f t="shared" si="4"/>
        <v>Aprovado</v>
      </c>
      <c r="O24" s="16" t="str">
        <f t="shared" si="2"/>
        <v>Aprovado</v>
      </c>
      <c r="P24" s="29">
        <f t="shared" si="3"/>
        <v>2920</v>
      </c>
      <c r="AG24" s="26">
        <v>39</v>
      </c>
      <c r="AH24">
        <v>8</v>
      </c>
    </row>
    <row r="25" spans="1:34" x14ac:dyDescent="0.3">
      <c r="A25" s="20" t="s">
        <v>171</v>
      </c>
      <c r="B25" s="16" t="s">
        <v>195</v>
      </c>
      <c r="C25" s="44">
        <v>0</v>
      </c>
      <c r="D25" s="20">
        <v>73</v>
      </c>
      <c r="E25" s="17">
        <v>19538</v>
      </c>
      <c r="F25" s="16" t="s">
        <v>139</v>
      </c>
      <c r="G25" s="16" t="s">
        <v>18</v>
      </c>
      <c r="H25" s="18">
        <v>12700</v>
      </c>
      <c r="I25" s="19">
        <v>79500</v>
      </c>
      <c r="J25" s="16">
        <v>35</v>
      </c>
      <c r="K25" s="16" t="str">
        <f t="shared" si="0"/>
        <v>Alto</v>
      </c>
      <c r="L25" s="16" t="s">
        <v>14</v>
      </c>
      <c r="M25" s="19">
        <v>39000</v>
      </c>
      <c r="N25" s="16" t="str">
        <f t="shared" si="4"/>
        <v>Aprovado</v>
      </c>
      <c r="O25" s="16" t="str">
        <f t="shared" si="2"/>
        <v>Aprovado</v>
      </c>
      <c r="P25" s="29">
        <f t="shared" si="3"/>
        <v>3120</v>
      </c>
      <c r="AG25" s="26">
        <v>40</v>
      </c>
      <c r="AH25">
        <v>5</v>
      </c>
    </row>
    <row r="26" spans="1:34" x14ac:dyDescent="0.3">
      <c r="A26" s="20" t="s">
        <v>171</v>
      </c>
      <c r="B26" s="16" t="s">
        <v>29</v>
      </c>
      <c r="C26" s="44">
        <v>6700</v>
      </c>
      <c r="D26" s="20">
        <v>55</v>
      </c>
      <c r="E26" s="17">
        <v>26104</v>
      </c>
      <c r="F26" s="16" t="s">
        <v>136</v>
      </c>
      <c r="G26" s="16" t="s">
        <v>28</v>
      </c>
      <c r="H26" s="18">
        <v>22100</v>
      </c>
      <c r="I26" s="19">
        <v>41500</v>
      </c>
      <c r="J26" s="16">
        <v>18</v>
      </c>
      <c r="K26" s="16" t="str">
        <f t="shared" si="0"/>
        <v>Médio</v>
      </c>
      <c r="L26" s="16" t="s">
        <v>14</v>
      </c>
      <c r="M26" s="19">
        <v>65000</v>
      </c>
      <c r="N26" s="16" t="str">
        <f t="shared" si="4"/>
        <v>Aprovado</v>
      </c>
      <c r="O26" s="16" t="str">
        <f t="shared" si="2"/>
        <v>Aprovado</v>
      </c>
      <c r="P26" s="29">
        <f t="shared" si="3"/>
        <v>5200</v>
      </c>
      <c r="AG26" s="26">
        <v>41</v>
      </c>
      <c r="AH26">
        <v>4</v>
      </c>
    </row>
    <row r="27" spans="1:34" x14ac:dyDescent="0.3">
      <c r="A27" s="20" t="s">
        <v>172</v>
      </c>
      <c r="B27" s="16" t="s">
        <v>196</v>
      </c>
      <c r="C27" s="44">
        <v>0</v>
      </c>
      <c r="D27" s="20">
        <v>25</v>
      </c>
      <c r="E27" s="17">
        <v>37131</v>
      </c>
      <c r="F27" s="16" t="s">
        <v>141</v>
      </c>
      <c r="G27" s="16" t="s">
        <v>33</v>
      </c>
      <c r="H27" s="18">
        <v>24500</v>
      </c>
      <c r="I27" s="19">
        <v>0</v>
      </c>
      <c r="J27" s="16">
        <v>0</v>
      </c>
      <c r="K27" s="16" t="str">
        <f t="shared" si="0"/>
        <v>Baixo</v>
      </c>
      <c r="L27" s="16" t="s">
        <v>14</v>
      </c>
      <c r="M27" s="19">
        <v>55000</v>
      </c>
      <c r="N27" s="16" t="str">
        <f t="shared" si="4"/>
        <v>Aprovado</v>
      </c>
      <c r="O27" s="16" t="str">
        <f t="shared" si="2"/>
        <v>Aprovado</v>
      </c>
      <c r="P27" s="29">
        <f t="shared" si="3"/>
        <v>0</v>
      </c>
      <c r="AG27" s="26">
        <v>42</v>
      </c>
      <c r="AH27">
        <v>7</v>
      </c>
    </row>
    <row r="28" spans="1:34" x14ac:dyDescent="0.3">
      <c r="A28" s="20" t="s">
        <v>171</v>
      </c>
      <c r="B28" s="16" t="s">
        <v>197</v>
      </c>
      <c r="C28" s="44">
        <v>2500</v>
      </c>
      <c r="D28" s="20">
        <v>72</v>
      </c>
      <c r="E28" s="17">
        <v>19800</v>
      </c>
      <c r="F28" s="16" t="s">
        <v>157</v>
      </c>
      <c r="G28" s="16" t="s">
        <v>16</v>
      </c>
      <c r="H28" s="18">
        <v>24300</v>
      </c>
      <c r="I28" s="19">
        <v>13500</v>
      </c>
      <c r="J28" s="16">
        <v>33</v>
      </c>
      <c r="K28" s="16" t="str">
        <f t="shared" si="0"/>
        <v>Alto</v>
      </c>
      <c r="L28" s="16" t="s">
        <v>14</v>
      </c>
      <c r="M28" s="19">
        <v>14500</v>
      </c>
      <c r="N28" s="16" t="str">
        <f t="shared" si="4"/>
        <v>Aprovado</v>
      </c>
      <c r="O28" s="16" t="str">
        <f t="shared" si="2"/>
        <v>Aprovado</v>
      </c>
      <c r="P28" s="29">
        <f t="shared" si="3"/>
        <v>1160</v>
      </c>
      <c r="AG28" s="26">
        <v>43</v>
      </c>
      <c r="AH28">
        <v>4</v>
      </c>
    </row>
    <row r="29" spans="1:34" x14ac:dyDescent="0.3">
      <c r="A29" s="20" t="s">
        <v>171</v>
      </c>
      <c r="B29" s="16" t="s">
        <v>198</v>
      </c>
      <c r="C29" s="44">
        <v>4800</v>
      </c>
      <c r="D29" s="20">
        <v>33</v>
      </c>
      <c r="E29" s="17">
        <v>34084</v>
      </c>
      <c r="F29" s="16" t="s">
        <v>140</v>
      </c>
      <c r="G29" s="16" t="s">
        <v>17</v>
      </c>
      <c r="H29" s="18">
        <v>29700</v>
      </c>
      <c r="I29" s="19">
        <v>38000</v>
      </c>
      <c r="J29" s="16">
        <v>41</v>
      </c>
      <c r="K29" s="16" t="str">
        <f t="shared" si="0"/>
        <v>Alto</v>
      </c>
      <c r="L29" s="16" t="s">
        <v>13</v>
      </c>
      <c r="M29" s="19">
        <v>83500</v>
      </c>
      <c r="N29" s="16" t="str">
        <f t="shared" si="4"/>
        <v>Negado</v>
      </c>
      <c r="O29" s="16" t="str">
        <f t="shared" si="2"/>
        <v>Aprovado</v>
      </c>
      <c r="P29" s="29">
        <f t="shared" si="3"/>
        <v>6680</v>
      </c>
      <c r="AG29" s="26">
        <v>44</v>
      </c>
      <c r="AH29">
        <v>8</v>
      </c>
    </row>
    <row r="30" spans="1:34" x14ac:dyDescent="0.3">
      <c r="A30" s="20" t="s">
        <v>172</v>
      </c>
      <c r="B30" s="16" t="s">
        <v>198</v>
      </c>
      <c r="C30" s="44">
        <v>29100</v>
      </c>
      <c r="D30" s="20">
        <v>44</v>
      </c>
      <c r="E30" s="17">
        <v>29948</v>
      </c>
      <c r="F30" s="16" t="s">
        <v>21</v>
      </c>
      <c r="G30" s="16" t="s">
        <v>21</v>
      </c>
      <c r="H30" s="18">
        <v>0</v>
      </c>
      <c r="I30" s="19">
        <v>0</v>
      </c>
      <c r="J30" s="16">
        <v>4</v>
      </c>
      <c r="K30" s="16" t="str">
        <f t="shared" si="0"/>
        <v>Baixo</v>
      </c>
      <c r="L30" s="16" t="s">
        <v>14</v>
      </c>
      <c r="M30" s="19">
        <v>80000</v>
      </c>
      <c r="N30" s="16" t="str">
        <f t="shared" si="4"/>
        <v>Aprovado</v>
      </c>
      <c r="O30" s="16" t="str">
        <f t="shared" si="2"/>
        <v>Aprovado</v>
      </c>
      <c r="P30" s="29">
        <f t="shared" si="3"/>
        <v>0</v>
      </c>
      <c r="AG30" s="26">
        <v>45</v>
      </c>
      <c r="AH30">
        <v>4</v>
      </c>
    </row>
    <row r="31" spans="1:34" x14ac:dyDescent="0.3">
      <c r="A31" s="20" t="s">
        <v>171</v>
      </c>
      <c r="B31" s="16" t="s">
        <v>199</v>
      </c>
      <c r="C31" s="44">
        <v>24200</v>
      </c>
      <c r="D31" s="20">
        <v>66</v>
      </c>
      <c r="E31" s="17">
        <v>22151</v>
      </c>
      <c r="F31" s="16" t="s">
        <v>142</v>
      </c>
      <c r="G31" s="16" t="s">
        <v>23</v>
      </c>
      <c r="H31" s="18">
        <v>11800</v>
      </c>
      <c r="I31" s="19">
        <v>2000</v>
      </c>
      <c r="J31" s="16">
        <v>23</v>
      </c>
      <c r="K31" s="16" t="str">
        <f t="shared" si="0"/>
        <v>Médio</v>
      </c>
      <c r="L31" s="16" t="s">
        <v>13</v>
      </c>
      <c r="M31" s="19">
        <v>72500</v>
      </c>
      <c r="N31" s="16" t="str">
        <f t="shared" si="4"/>
        <v>Aprovado</v>
      </c>
      <c r="O31" s="16" t="str">
        <f t="shared" si="2"/>
        <v>Aprovado</v>
      </c>
      <c r="P31" s="29">
        <f t="shared" si="3"/>
        <v>5800</v>
      </c>
      <c r="AG31" s="26">
        <v>46</v>
      </c>
      <c r="AH31">
        <v>6</v>
      </c>
    </row>
    <row r="32" spans="1:34" x14ac:dyDescent="0.3">
      <c r="A32" s="20" t="s">
        <v>171</v>
      </c>
      <c r="B32" s="16" t="s">
        <v>199</v>
      </c>
      <c r="C32" s="44">
        <v>10300</v>
      </c>
      <c r="D32" s="20">
        <v>20</v>
      </c>
      <c r="E32" s="17">
        <v>38957</v>
      </c>
      <c r="F32" s="16" t="s">
        <v>143</v>
      </c>
      <c r="G32" s="16" t="s">
        <v>17</v>
      </c>
      <c r="H32" s="18">
        <v>18200</v>
      </c>
      <c r="I32" s="19">
        <v>0</v>
      </c>
      <c r="J32" s="16">
        <v>21</v>
      </c>
      <c r="K32" s="16" t="str">
        <f t="shared" si="0"/>
        <v>Médio</v>
      </c>
      <c r="L32" s="16" t="s">
        <v>14</v>
      </c>
      <c r="M32" s="19">
        <v>61500</v>
      </c>
      <c r="N32" s="16" t="str">
        <f t="shared" si="4"/>
        <v>Aprovado</v>
      </c>
      <c r="O32" s="16" t="str">
        <f t="shared" si="2"/>
        <v>Aprovado</v>
      </c>
      <c r="P32" s="29">
        <f t="shared" si="3"/>
        <v>4920</v>
      </c>
      <c r="AG32" s="26">
        <v>47</v>
      </c>
      <c r="AH32">
        <v>7</v>
      </c>
    </row>
    <row r="33" spans="1:34" x14ac:dyDescent="0.3">
      <c r="A33" s="20" t="s">
        <v>171</v>
      </c>
      <c r="B33" s="16" t="s">
        <v>41</v>
      </c>
      <c r="C33" s="44">
        <v>300</v>
      </c>
      <c r="D33" s="20">
        <v>23</v>
      </c>
      <c r="E33" s="17">
        <v>37785</v>
      </c>
      <c r="F33" s="16" t="s">
        <v>144</v>
      </c>
      <c r="G33" s="16" t="s">
        <v>18</v>
      </c>
      <c r="H33" s="18">
        <v>17900</v>
      </c>
      <c r="I33" s="19">
        <v>28000</v>
      </c>
      <c r="J33" s="16">
        <v>41</v>
      </c>
      <c r="K33" s="16" t="str">
        <f t="shared" si="0"/>
        <v>Alto</v>
      </c>
      <c r="L33" s="16" t="s">
        <v>14</v>
      </c>
      <c r="M33" s="19">
        <v>52500</v>
      </c>
      <c r="N33" s="16" t="str">
        <f t="shared" si="4"/>
        <v>Aprovado</v>
      </c>
      <c r="O33" s="16" t="str">
        <f t="shared" si="2"/>
        <v>Aprovado</v>
      </c>
      <c r="P33" s="29">
        <f t="shared" si="3"/>
        <v>4200</v>
      </c>
      <c r="AG33" s="26">
        <v>48</v>
      </c>
      <c r="AH33">
        <v>10</v>
      </c>
    </row>
    <row r="34" spans="1:34" x14ac:dyDescent="0.3">
      <c r="A34" s="20" t="s">
        <v>171</v>
      </c>
      <c r="B34" s="16" t="s">
        <v>200</v>
      </c>
      <c r="C34" s="44">
        <v>28800</v>
      </c>
      <c r="D34" s="20">
        <v>48</v>
      </c>
      <c r="E34" s="17">
        <v>28430</v>
      </c>
      <c r="F34" s="16" t="s">
        <v>136</v>
      </c>
      <c r="G34" s="16" t="s">
        <v>28</v>
      </c>
      <c r="H34" s="18">
        <v>4500</v>
      </c>
      <c r="I34" s="19">
        <v>0</v>
      </c>
      <c r="J34" s="16">
        <v>3</v>
      </c>
      <c r="K34" s="16" t="str">
        <f t="shared" si="0"/>
        <v>Baixo</v>
      </c>
      <c r="L34" s="16" t="s">
        <v>14</v>
      </c>
      <c r="M34" s="19">
        <v>48500</v>
      </c>
      <c r="N34" s="16" t="str">
        <f t="shared" si="4"/>
        <v>Aprovado</v>
      </c>
      <c r="O34" s="16" t="str">
        <f t="shared" si="2"/>
        <v>Aprovado</v>
      </c>
      <c r="P34" s="29">
        <f t="shared" si="3"/>
        <v>3880</v>
      </c>
      <c r="AG34" s="26">
        <v>49</v>
      </c>
      <c r="AH34">
        <v>6</v>
      </c>
    </row>
    <row r="35" spans="1:34" x14ac:dyDescent="0.3">
      <c r="A35" s="20" t="s">
        <v>171</v>
      </c>
      <c r="B35" s="16" t="s">
        <v>201</v>
      </c>
      <c r="C35" s="44">
        <v>0</v>
      </c>
      <c r="D35" s="20">
        <v>18</v>
      </c>
      <c r="E35" s="17">
        <v>39369</v>
      </c>
      <c r="F35" s="16" t="s">
        <v>133</v>
      </c>
      <c r="G35" s="16" t="s">
        <v>27</v>
      </c>
      <c r="H35" s="18">
        <v>18500</v>
      </c>
      <c r="I35" s="19">
        <v>74500</v>
      </c>
      <c r="J35" s="16">
        <v>20</v>
      </c>
      <c r="K35" s="16" t="str">
        <f t="shared" si="0"/>
        <v>Médio</v>
      </c>
      <c r="L35" s="16" t="s">
        <v>13</v>
      </c>
      <c r="M35" s="19">
        <v>45500</v>
      </c>
      <c r="N35" s="16" t="str">
        <f t="shared" si="4"/>
        <v>Aprovado</v>
      </c>
      <c r="O35" s="16" t="str">
        <f t="shared" si="2"/>
        <v>Negado</v>
      </c>
      <c r="P35" s="29">
        <f t="shared" si="3"/>
        <v>3640</v>
      </c>
      <c r="AG35" s="26">
        <v>50</v>
      </c>
      <c r="AH35">
        <v>4</v>
      </c>
    </row>
    <row r="36" spans="1:34" x14ac:dyDescent="0.3">
      <c r="A36" s="20" t="s">
        <v>171</v>
      </c>
      <c r="B36" s="16" t="s">
        <v>202</v>
      </c>
      <c r="C36" s="44">
        <v>21800</v>
      </c>
      <c r="D36" s="20">
        <v>62</v>
      </c>
      <c r="E36" s="17">
        <v>23488</v>
      </c>
      <c r="F36" s="16" t="s">
        <v>137</v>
      </c>
      <c r="G36" s="16" t="s">
        <v>36</v>
      </c>
      <c r="H36" s="18">
        <v>0</v>
      </c>
      <c r="I36" s="19">
        <v>0</v>
      </c>
      <c r="J36" s="16">
        <v>38</v>
      </c>
      <c r="K36" s="16" t="str">
        <f t="shared" si="0"/>
        <v>Alto</v>
      </c>
      <c r="L36" s="16" t="s">
        <v>14</v>
      </c>
      <c r="M36" s="19">
        <v>72000</v>
      </c>
      <c r="N36" s="16" t="str">
        <f t="shared" si="4"/>
        <v>Aprovado</v>
      </c>
      <c r="O36" s="16" t="str">
        <f t="shared" si="2"/>
        <v>Aprovado</v>
      </c>
      <c r="P36" s="29">
        <f t="shared" si="3"/>
        <v>5760</v>
      </c>
      <c r="AG36" s="26">
        <v>51</v>
      </c>
      <c r="AH36">
        <v>7</v>
      </c>
    </row>
    <row r="37" spans="1:34" x14ac:dyDescent="0.3">
      <c r="A37" s="20" t="s">
        <v>171</v>
      </c>
      <c r="B37" s="16" t="s">
        <v>203</v>
      </c>
      <c r="C37" s="44">
        <v>18900</v>
      </c>
      <c r="D37" s="20">
        <v>39</v>
      </c>
      <c r="E37" s="17">
        <v>31968</v>
      </c>
      <c r="F37" s="16" t="s">
        <v>145</v>
      </c>
      <c r="G37" s="16" t="s">
        <v>164</v>
      </c>
      <c r="H37" s="18">
        <v>8000</v>
      </c>
      <c r="I37" s="19">
        <v>69000</v>
      </c>
      <c r="J37" s="16">
        <v>15</v>
      </c>
      <c r="K37" s="16" t="str">
        <f t="shared" si="0"/>
        <v>Médio</v>
      </c>
      <c r="L37" s="16" t="s">
        <v>14</v>
      </c>
      <c r="M37" s="19">
        <v>39500</v>
      </c>
      <c r="N37" s="16" t="str">
        <f t="shared" si="4"/>
        <v>Aprovado</v>
      </c>
      <c r="O37" s="16" t="str">
        <f t="shared" si="2"/>
        <v>Aprovado</v>
      </c>
      <c r="P37" s="29">
        <f t="shared" si="3"/>
        <v>3160</v>
      </c>
      <c r="AG37" s="26">
        <v>52</v>
      </c>
      <c r="AH37">
        <v>4</v>
      </c>
    </row>
    <row r="38" spans="1:34" x14ac:dyDescent="0.3">
      <c r="A38" s="20" t="s">
        <v>171</v>
      </c>
      <c r="B38" s="16" t="s">
        <v>203</v>
      </c>
      <c r="C38" s="44">
        <v>18900</v>
      </c>
      <c r="D38" s="20">
        <v>39</v>
      </c>
      <c r="E38" s="17" t="s">
        <v>48</v>
      </c>
      <c r="F38" s="16" t="s">
        <v>145</v>
      </c>
      <c r="G38" s="16" t="s">
        <v>164</v>
      </c>
      <c r="H38" s="19">
        <v>8000</v>
      </c>
      <c r="I38" s="19">
        <v>69000</v>
      </c>
      <c r="J38" s="16">
        <v>15</v>
      </c>
      <c r="K38" s="16" t="str">
        <f t="shared" si="0"/>
        <v>Médio</v>
      </c>
      <c r="L38" s="16" t="s">
        <v>14</v>
      </c>
      <c r="M38" s="19">
        <v>6500</v>
      </c>
      <c r="N38" s="16" t="str">
        <f t="shared" si="4"/>
        <v>Aprovado</v>
      </c>
      <c r="O38" s="16" t="str">
        <f t="shared" si="2"/>
        <v>Aprovado</v>
      </c>
      <c r="P38" s="29">
        <f t="shared" si="3"/>
        <v>520</v>
      </c>
      <c r="AG38" s="26">
        <v>53</v>
      </c>
      <c r="AH38">
        <v>11</v>
      </c>
    </row>
    <row r="39" spans="1:34" x14ac:dyDescent="0.3">
      <c r="A39" s="20" t="s">
        <v>171</v>
      </c>
      <c r="B39" s="16" t="s">
        <v>203</v>
      </c>
      <c r="C39" s="44">
        <v>4200</v>
      </c>
      <c r="D39" s="20">
        <v>33</v>
      </c>
      <c r="E39" s="17">
        <v>33892</v>
      </c>
      <c r="F39" s="16" t="s">
        <v>138</v>
      </c>
      <c r="G39" s="16" t="s">
        <v>27</v>
      </c>
      <c r="H39" s="19">
        <v>29200</v>
      </c>
      <c r="I39" s="19">
        <v>3000</v>
      </c>
      <c r="J39" s="16">
        <v>40</v>
      </c>
      <c r="K39" s="16" t="str">
        <f t="shared" si="0"/>
        <v>Alto</v>
      </c>
      <c r="L39" s="16" t="s">
        <v>13</v>
      </c>
      <c r="M39" s="19">
        <v>26000</v>
      </c>
      <c r="N39" s="16" t="str">
        <f t="shared" si="4"/>
        <v>Negado</v>
      </c>
      <c r="O39" s="16" t="str">
        <f t="shared" si="2"/>
        <v>Aprovado</v>
      </c>
      <c r="P39" s="29">
        <f t="shared" si="3"/>
        <v>2080</v>
      </c>
      <c r="AG39" s="26">
        <v>54</v>
      </c>
      <c r="AH39">
        <v>5</v>
      </c>
    </row>
    <row r="40" spans="1:34" x14ac:dyDescent="0.3">
      <c r="A40" s="20" t="s">
        <v>172</v>
      </c>
      <c r="B40" s="16" t="s">
        <v>204</v>
      </c>
      <c r="C40" s="44">
        <v>24100</v>
      </c>
      <c r="D40" s="20">
        <v>21</v>
      </c>
      <c r="E40" s="17">
        <v>38328</v>
      </c>
      <c r="F40" s="16" t="s">
        <v>136</v>
      </c>
      <c r="G40" s="16" t="s">
        <v>28</v>
      </c>
      <c r="H40" s="18">
        <v>4400</v>
      </c>
      <c r="I40" s="19">
        <v>23500</v>
      </c>
      <c r="J40" s="16">
        <v>31</v>
      </c>
      <c r="K40" s="16" t="str">
        <f t="shared" si="0"/>
        <v>Alto</v>
      </c>
      <c r="L40" s="16" t="s">
        <v>13</v>
      </c>
      <c r="M40" s="19">
        <v>91000</v>
      </c>
      <c r="N40" s="16" t="str">
        <f t="shared" si="4"/>
        <v>Negado</v>
      </c>
      <c r="O40" s="16" t="str">
        <f t="shared" si="2"/>
        <v>Aprovado</v>
      </c>
      <c r="P40" s="29">
        <f t="shared" si="3"/>
        <v>0</v>
      </c>
      <c r="AG40" s="26">
        <v>55</v>
      </c>
      <c r="AH40">
        <v>12</v>
      </c>
    </row>
    <row r="41" spans="1:34" x14ac:dyDescent="0.3">
      <c r="A41" s="20" t="s">
        <v>171</v>
      </c>
      <c r="B41" s="16" t="s">
        <v>205</v>
      </c>
      <c r="C41" s="44">
        <v>26900</v>
      </c>
      <c r="D41" s="20">
        <v>53</v>
      </c>
      <c r="E41" s="17">
        <v>26790</v>
      </c>
      <c r="F41" s="16" t="s">
        <v>138</v>
      </c>
      <c r="G41" s="16" t="s">
        <v>27</v>
      </c>
      <c r="H41" s="18">
        <v>0</v>
      </c>
      <c r="I41" s="19">
        <v>21500</v>
      </c>
      <c r="J41" s="16">
        <v>44</v>
      </c>
      <c r="K41" s="16" t="str">
        <f t="shared" si="0"/>
        <v>Alto</v>
      </c>
      <c r="L41" s="16" t="s">
        <v>13</v>
      </c>
      <c r="M41" s="19">
        <v>3500</v>
      </c>
      <c r="N41" s="16" t="str">
        <f t="shared" si="4"/>
        <v>Negado</v>
      </c>
      <c r="O41" s="16" t="str">
        <f t="shared" si="2"/>
        <v>Aprovado</v>
      </c>
      <c r="P41" s="29">
        <f t="shared" si="3"/>
        <v>280</v>
      </c>
      <c r="AG41" s="26">
        <v>56</v>
      </c>
      <c r="AH41">
        <v>8</v>
      </c>
    </row>
    <row r="42" spans="1:34" x14ac:dyDescent="0.3">
      <c r="A42" s="20" t="s">
        <v>171</v>
      </c>
      <c r="B42" s="16" t="s">
        <v>206</v>
      </c>
      <c r="C42" s="44">
        <v>0</v>
      </c>
      <c r="D42" s="20">
        <v>29</v>
      </c>
      <c r="E42" s="17">
        <v>35334</v>
      </c>
      <c r="F42" s="16" t="s">
        <v>136</v>
      </c>
      <c r="G42" s="16" t="s">
        <v>28</v>
      </c>
      <c r="H42" s="18">
        <v>19500</v>
      </c>
      <c r="I42" s="19">
        <v>57000</v>
      </c>
      <c r="J42" s="16">
        <v>12</v>
      </c>
      <c r="K42" s="16" t="str">
        <f t="shared" si="0"/>
        <v>Médio</v>
      </c>
      <c r="L42" s="16" t="s">
        <v>14</v>
      </c>
      <c r="M42" s="19">
        <v>20500</v>
      </c>
      <c r="N42" s="16" t="str">
        <f t="shared" si="4"/>
        <v>Aprovado</v>
      </c>
      <c r="O42" s="16" t="str">
        <f t="shared" si="2"/>
        <v>Aprovado</v>
      </c>
      <c r="P42" s="29">
        <f t="shared" si="3"/>
        <v>1640</v>
      </c>
      <c r="AG42" s="26">
        <v>57</v>
      </c>
      <c r="AH42">
        <v>9</v>
      </c>
    </row>
    <row r="43" spans="1:34" x14ac:dyDescent="0.3">
      <c r="A43" s="20" t="s">
        <v>171</v>
      </c>
      <c r="B43" s="16" t="s">
        <v>207</v>
      </c>
      <c r="C43" s="44">
        <v>5700</v>
      </c>
      <c r="D43" s="20">
        <v>42</v>
      </c>
      <c r="E43" s="17">
        <v>30878</v>
      </c>
      <c r="F43" s="16" t="s">
        <v>136</v>
      </c>
      <c r="G43" s="16" t="s">
        <v>28</v>
      </c>
      <c r="H43" s="18">
        <v>17500</v>
      </c>
      <c r="I43" s="19">
        <v>3500</v>
      </c>
      <c r="J43" s="16">
        <v>25</v>
      </c>
      <c r="K43" s="16" t="str">
        <f t="shared" si="0"/>
        <v>Médio</v>
      </c>
      <c r="L43" s="16" t="s">
        <v>14</v>
      </c>
      <c r="M43" s="19">
        <v>35000</v>
      </c>
      <c r="N43" s="16" t="str">
        <f t="shared" si="4"/>
        <v>Aprovado</v>
      </c>
      <c r="O43" s="16" t="str">
        <f t="shared" si="2"/>
        <v>Aprovado</v>
      </c>
      <c r="P43" s="29">
        <f t="shared" si="3"/>
        <v>2800</v>
      </c>
      <c r="AG43" s="26">
        <v>58</v>
      </c>
      <c r="AH43">
        <v>9</v>
      </c>
    </row>
    <row r="44" spans="1:34" x14ac:dyDescent="0.3">
      <c r="A44" s="20" t="s">
        <v>171</v>
      </c>
      <c r="B44" s="16" t="s">
        <v>208</v>
      </c>
      <c r="C44" s="44">
        <v>7000</v>
      </c>
      <c r="D44" s="20">
        <v>62</v>
      </c>
      <c r="E44" s="17">
        <v>23337</v>
      </c>
      <c r="F44" s="16" t="s">
        <v>139</v>
      </c>
      <c r="G44" s="16" t="s">
        <v>18</v>
      </c>
      <c r="H44" s="18">
        <v>11900</v>
      </c>
      <c r="I44" s="19">
        <v>58500</v>
      </c>
      <c r="J44" s="16">
        <v>37</v>
      </c>
      <c r="K44" s="16" t="str">
        <f t="shared" si="0"/>
        <v>Alto</v>
      </c>
      <c r="L44" s="16" t="s">
        <v>14</v>
      </c>
      <c r="M44" s="19">
        <v>48000</v>
      </c>
      <c r="N44" s="16" t="str">
        <f t="shared" si="4"/>
        <v>Aprovado</v>
      </c>
      <c r="O44" s="16" t="str">
        <f t="shared" si="2"/>
        <v>Aprovado</v>
      </c>
      <c r="P44" s="29">
        <f t="shared" si="3"/>
        <v>3840</v>
      </c>
      <c r="AG44" s="26">
        <v>59</v>
      </c>
      <c r="AH44">
        <v>5</v>
      </c>
    </row>
    <row r="45" spans="1:34" x14ac:dyDescent="0.3">
      <c r="A45" s="20" t="s">
        <v>171</v>
      </c>
      <c r="B45" s="16" t="s">
        <v>209</v>
      </c>
      <c r="C45" s="44">
        <v>25600</v>
      </c>
      <c r="D45" s="20">
        <v>39</v>
      </c>
      <c r="E45" s="17">
        <v>31814</v>
      </c>
      <c r="F45" s="16" t="s">
        <v>140</v>
      </c>
      <c r="G45" s="16" t="s">
        <v>17</v>
      </c>
      <c r="H45" s="18">
        <v>9300</v>
      </c>
      <c r="I45" s="19">
        <v>36500</v>
      </c>
      <c r="J45" s="16">
        <v>0</v>
      </c>
      <c r="K45" s="16" t="str">
        <f t="shared" si="0"/>
        <v>Baixo</v>
      </c>
      <c r="L45" s="16" t="s">
        <v>14</v>
      </c>
      <c r="M45" s="19">
        <v>3000</v>
      </c>
      <c r="N45" s="16" t="str">
        <f t="shared" si="4"/>
        <v>Aprovado</v>
      </c>
      <c r="O45" s="16" t="str">
        <f t="shared" si="2"/>
        <v>Aprovado</v>
      </c>
      <c r="P45" s="29">
        <f t="shared" si="3"/>
        <v>240</v>
      </c>
      <c r="AG45" s="26">
        <v>60</v>
      </c>
      <c r="AH45">
        <v>7</v>
      </c>
    </row>
    <row r="46" spans="1:34" x14ac:dyDescent="0.3">
      <c r="A46" s="20" t="s">
        <v>171</v>
      </c>
      <c r="B46" s="16" t="s">
        <v>210</v>
      </c>
      <c r="C46" s="44">
        <v>35500</v>
      </c>
      <c r="D46" s="20">
        <v>67</v>
      </c>
      <c r="E46" s="17">
        <v>21522</v>
      </c>
      <c r="F46" s="16" t="s">
        <v>134</v>
      </c>
      <c r="G46" s="16" t="s">
        <v>15</v>
      </c>
      <c r="H46" s="18">
        <v>11300</v>
      </c>
      <c r="I46" s="19">
        <v>49500</v>
      </c>
      <c r="J46" s="16">
        <v>12</v>
      </c>
      <c r="K46" s="16" t="str">
        <f t="shared" si="0"/>
        <v>Médio</v>
      </c>
      <c r="L46" s="16" t="s">
        <v>14</v>
      </c>
      <c r="M46" s="19">
        <v>34500</v>
      </c>
      <c r="N46" s="16" t="str">
        <f t="shared" si="4"/>
        <v>Aprovado</v>
      </c>
      <c r="O46" s="16" t="str">
        <f t="shared" si="2"/>
        <v>Aprovado</v>
      </c>
      <c r="P46" s="29">
        <f t="shared" si="3"/>
        <v>2760</v>
      </c>
      <c r="AG46" s="26">
        <v>61</v>
      </c>
      <c r="AH46">
        <v>7</v>
      </c>
    </row>
    <row r="47" spans="1:34" x14ac:dyDescent="0.3">
      <c r="A47" s="20" t="s">
        <v>171</v>
      </c>
      <c r="B47" s="16" t="s">
        <v>40</v>
      </c>
      <c r="C47" s="44">
        <v>3100</v>
      </c>
      <c r="D47" s="20">
        <v>23</v>
      </c>
      <c r="E47" s="17">
        <v>37530</v>
      </c>
      <c r="F47" s="16" t="s">
        <v>146</v>
      </c>
      <c r="G47" s="16" t="s">
        <v>165</v>
      </c>
      <c r="H47" s="18">
        <v>10700</v>
      </c>
      <c r="I47" s="19">
        <v>15000</v>
      </c>
      <c r="J47" s="16">
        <v>42</v>
      </c>
      <c r="K47" s="16" t="str">
        <f t="shared" si="0"/>
        <v>Alto</v>
      </c>
      <c r="L47" s="16" t="s">
        <v>14</v>
      </c>
      <c r="M47" s="19">
        <v>81500</v>
      </c>
      <c r="N47" s="16" t="str">
        <f t="shared" si="4"/>
        <v>Aprovado</v>
      </c>
      <c r="O47" s="16" t="str">
        <f t="shared" si="2"/>
        <v>Aprovado</v>
      </c>
      <c r="P47" s="29">
        <f t="shared" si="3"/>
        <v>6520</v>
      </c>
      <c r="AG47" s="26">
        <v>62</v>
      </c>
      <c r="AH47">
        <v>7</v>
      </c>
    </row>
    <row r="48" spans="1:34" x14ac:dyDescent="0.3">
      <c r="A48" s="20" t="s">
        <v>171</v>
      </c>
      <c r="B48" s="16" t="s">
        <v>211</v>
      </c>
      <c r="C48" s="44">
        <v>20200</v>
      </c>
      <c r="D48" s="20">
        <v>53</v>
      </c>
      <c r="E48" s="17">
        <v>26840</v>
      </c>
      <c r="F48" s="16" t="s">
        <v>145</v>
      </c>
      <c r="G48" s="16" t="s">
        <v>164</v>
      </c>
      <c r="H48" s="18">
        <v>9500</v>
      </c>
      <c r="I48" s="19">
        <v>66500</v>
      </c>
      <c r="J48" s="16">
        <v>38</v>
      </c>
      <c r="K48" s="16" t="str">
        <f t="shared" si="0"/>
        <v>Alto</v>
      </c>
      <c r="L48" s="16" t="s">
        <v>13</v>
      </c>
      <c r="M48" s="19">
        <v>42500</v>
      </c>
      <c r="N48" s="16" t="str">
        <f t="shared" si="4"/>
        <v>Negado</v>
      </c>
      <c r="O48" s="16" t="str">
        <f t="shared" si="2"/>
        <v>Negado</v>
      </c>
      <c r="P48" s="29">
        <f t="shared" si="3"/>
        <v>0</v>
      </c>
      <c r="AG48" s="26">
        <v>63</v>
      </c>
      <c r="AH48">
        <v>10</v>
      </c>
    </row>
    <row r="49" spans="1:34" x14ac:dyDescent="0.3">
      <c r="A49" s="20" t="s">
        <v>171</v>
      </c>
      <c r="B49" s="16" t="s">
        <v>212</v>
      </c>
      <c r="C49" s="44">
        <v>7600</v>
      </c>
      <c r="D49" s="20">
        <v>28</v>
      </c>
      <c r="E49" s="17">
        <v>35830</v>
      </c>
      <c r="F49" s="16" t="s">
        <v>141</v>
      </c>
      <c r="G49" s="16" t="s">
        <v>33</v>
      </c>
      <c r="H49" s="18">
        <v>8600</v>
      </c>
      <c r="I49" s="19">
        <v>19000</v>
      </c>
      <c r="J49" s="16">
        <v>4</v>
      </c>
      <c r="K49" s="16" t="str">
        <f t="shared" si="0"/>
        <v>Baixo</v>
      </c>
      <c r="L49" s="16" t="s">
        <v>13</v>
      </c>
      <c r="M49" s="19">
        <v>32500</v>
      </c>
      <c r="N49" s="16" t="str">
        <f t="shared" si="4"/>
        <v>Aprovado</v>
      </c>
      <c r="O49" s="16" t="str">
        <f t="shared" si="2"/>
        <v>Aprovado</v>
      </c>
      <c r="P49" s="29">
        <f t="shared" si="3"/>
        <v>2600</v>
      </c>
      <c r="AG49" s="26">
        <v>64</v>
      </c>
      <c r="AH49">
        <v>5</v>
      </c>
    </row>
    <row r="50" spans="1:34" x14ac:dyDescent="0.3">
      <c r="A50" s="20" t="s">
        <v>171</v>
      </c>
      <c r="B50" s="16" t="s">
        <v>212</v>
      </c>
      <c r="C50" s="44">
        <v>14000</v>
      </c>
      <c r="D50" s="20">
        <v>29</v>
      </c>
      <c r="E50" s="17">
        <v>35472</v>
      </c>
      <c r="F50" s="16" t="s">
        <v>147</v>
      </c>
      <c r="G50" s="16" t="s">
        <v>164</v>
      </c>
      <c r="H50" s="18">
        <v>11900</v>
      </c>
      <c r="I50" s="19">
        <v>65000</v>
      </c>
      <c r="J50" s="16">
        <v>29</v>
      </c>
      <c r="K50" s="16" t="str">
        <f t="shared" si="0"/>
        <v>Alto</v>
      </c>
      <c r="L50" s="16" t="s">
        <v>13</v>
      </c>
      <c r="M50" s="19">
        <v>12000</v>
      </c>
      <c r="N50" s="16" t="str">
        <f t="shared" si="4"/>
        <v>Negado</v>
      </c>
      <c r="O50" s="16" t="str">
        <f t="shared" si="2"/>
        <v>Negado</v>
      </c>
      <c r="P50" s="29">
        <f t="shared" si="3"/>
        <v>0</v>
      </c>
      <c r="AG50" s="26">
        <v>65</v>
      </c>
      <c r="AH50">
        <v>10</v>
      </c>
    </row>
    <row r="51" spans="1:34" x14ac:dyDescent="0.3">
      <c r="A51" s="20" t="s">
        <v>172</v>
      </c>
      <c r="B51" s="16" t="s">
        <v>213</v>
      </c>
      <c r="C51" s="44">
        <v>30600</v>
      </c>
      <c r="D51" s="20">
        <v>68</v>
      </c>
      <c r="E51" s="17">
        <v>21293</v>
      </c>
      <c r="F51" s="16" t="s">
        <v>136</v>
      </c>
      <c r="G51" s="16" t="s">
        <v>28</v>
      </c>
      <c r="H51" s="18">
        <v>3800</v>
      </c>
      <c r="I51" s="19">
        <v>70000</v>
      </c>
      <c r="J51" s="16">
        <v>34</v>
      </c>
      <c r="K51" s="16" t="str">
        <f t="shared" si="0"/>
        <v>Alto</v>
      </c>
      <c r="L51" s="16" t="s">
        <v>13</v>
      </c>
      <c r="M51" s="19">
        <v>7500</v>
      </c>
      <c r="N51" s="16" t="str">
        <f t="shared" si="4"/>
        <v>Negado</v>
      </c>
      <c r="O51" s="16" t="str">
        <f t="shared" si="2"/>
        <v>Negado</v>
      </c>
      <c r="P51" s="29">
        <f t="shared" si="3"/>
        <v>0</v>
      </c>
      <c r="AG51" s="26">
        <v>66</v>
      </c>
      <c r="AH51">
        <v>6</v>
      </c>
    </row>
    <row r="52" spans="1:34" x14ac:dyDescent="0.3">
      <c r="A52" s="20" t="s">
        <v>171</v>
      </c>
      <c r="B52" s="16" t="s">
        <v>214</v>
      </c>
      <c r="C52" s="44">
        <v>10800</v>
      </c>
      <c r="D52" s="20">
        <v>39</v>
      </c>
      <c r="E52" s="17">
        <v>31766</v>
      </c>
      <c r="F52" s="16" t="s">
        <v>142</v>
      </c>
      <c r="G52" s="16" t="s">
        <v>23</v>
      </c>
      <c r="H52" s="18">
        <v>24700</v>
      </c>
      <c r="I52" s="19">
        <v>23500</v>
      </c>
      <c r="J52" s="16">
        <v>43</v>
      </c>
      <c r="K52" s="16" t="str">
        <f t="shared" si="0"/>
        <v>Alto</v>
      </c>
      <c r="L52" s="16" t="s">
        <v>14</v>
      </c>
      <c r="M52" s="19">
        <v>57000</v>
      </c>
      <c r="N52" s="16" t="str">
        <f t="shared" si="4"/>
        <v>Aprovado</v>
      </c>
      <c r="O52" s="16" t="str">
        <f t="shared" si="2"/>
        <v>Aprovado</v>
      </c>
      <c r="P52" s="29">
        <f t="shared" si="3"/>
        <v>4560</v>
      </c>
      <c r="AG52" s="26">
        <v>67</v>
      </c>
      <c r="AH52">
        <v>9</v>
      </c>
    </row>
    <row r="53" spans="1:34" x14ac:dyDescent="0.3">
      <c r="A53" s="20" t="s">
        <v>171</v>
      </c>
      <c r="B53" s="16" t="s">
        <v>215</v>
      </c>
      <c r="C53" s="44">
        <v>37900</v>
      </c>
      <c r="D53" s="20">
        <v>59</v>
      </c>
      <c r="E53" s="17">
        <v>24578</v>
      </c>
      <c r="F53" s="16" t="s">
        <v>148</v>
      </c>
      <c r="G53" s="16" t="s">
        <v>130</v>
      </c>
      <c r="H53" s="18">
        <v>6600</v>
      </c>
      <c r="I53" s="19">
        <v>50000</v>
      </c>
      <c r="J53" s="16">
        <v>9</v>
      </c>
      <c r="K53" s="16" t="str">
        <f t="shared" si="0"/>
        <v>Baixo</v>
      </c>
      <c r="L53" s="16" t="s">
        <v>13</v>
      </c>
      <c r="M53" s="19">
        <v>25000</v>
      </c>
      <c r="N53" s="16" t="str">
        <f t="shared" si="4"/>
        <v>Aprovado</v>
      </c>
      <c r="O53" s="16" t="str">
        <f t="shared" si="2"/>
        <v>Aprovado</v>
      </c>
      <c r="P53" s="29">
        <f t="shared" si="3"/>
        <v>2000</v>
      </c>
      <c r="AG53" s="26">
        <v>68</v>
      </c>
      <c r="AH53">
        <v>9</v>
      </c>
    </row>
    <row r="54" spans="1:34" x14ac:dyDescent="0.3">
      <c r="A54" s="20" t="s">
        <v>171</v>
      </c>
      <c r="B54" s="16" t="s">
        <v>19</v>
      </c>
      <c r="C54" s="44">
        <v>1600</v>
      </c>
      <c r="D54" s="20">
        <v>44</v>
      </c>
      <c r="E54" s="17">
        <v>29975</v>
      </c>
      <c r="F54" s="16" t="s">
        <v>141</v>
      </c>
      <c r="G54" s="16" t="s">
        <v>33</v>
      </c>
      <c r="H54" s="18">
        <v>5300</v>
      </c>
      <c r="I54" s="19">
        <v>6000</v>
      </c>
      <c r="J54" s="16">
        <v>1</v>
      </c>
      <c r="K54" s="16" t="str">
        <f t="shared" si="0"/>
        <v>Baixo</v>
      </c>
      <c r="L54" s="16" t="s">
        <v>13</v>
      </c>
      <c r="M54" s="19">
        <v>4500</v>
      </c>
      <c r="N54" s="16" t="str">
        <f t="shared" si="4"/>
        <v>Aprovado</v>
      </c>
      <c r="O54" s="16" t="str">
        <f t="shared" si="2"/>
        <v>Aprovado</v>
      </c>
      <c r="P54" s="29">
        <f t="shared" si="3"/>
        <v>360</v>
      </c>
      <c r="AG54" s="26">
        <v>69</v>
      </c>
      <c r="AH54">
        <v>7</v>
      </c>
    </row>
    <row r="55" spans="1:34" x14ac:dyDescent="0.3">
      <c r="A55" s="20" t="s">
        <v>172</v>
      </c>
      <c r="B55" s="16" t="s">
        <v>216</v>
      </c>
      <c r="C55" s="44">
        <v>0</v>
      </c>
      <c r="D55" s="20">
        <v>48</v>
      </c>
      <c r="E55" s="17">
        <v>28446</v>
      </c>
      <c r="F55" s="16" t="s">
        <v>139</v>
      </c>
      <c r="G55" s="16" t="s">
        <v>18</v>
      </c>
      <c r="H55" s="18">
        <v>6900</v>
      </c>
      <c r="I55" s="19">
        <v>52500</v>
      </c>
      <c r="J55" s="16">
        <v>0</v>
      </c>
      <c r="K55" s="16" t="str">
        <f t="shared" si="0"/>
        <v>Baixo</v>
      </c>
      <c r="L55" s="16" t="s">
        <v>13</v>
      </c>
      <c r="M55" s="19">
        <v>66000</v>
      </c>
      <c r="N55" s="16" t="str">
        <f t="shared" si="4"/>
        <v>Aprovado</v>
      </c>
      <c r="O55" s="16" t="str">
        <f t="shared" si="2"/>
        <v>Negado</v>
      </c>
      <c r="P55" s="29">
        <f t="shared" si="3"/>
        <v>0</v>
      </c>
      <c r="AG55" s="26">
        <v>70</v>
      </c>
      <c r="AH55">
        <v>5</v>
      </c>
    </row>
    <row r="56" spans="1:34" x14ac:dyDescent="0.3">
      <c r="A56" s="20" t="s">
        <v>171</v>
      </c>
      <c r="B56" s="16" t="s">
        <v>217</v>
      </c>
      <c r="C56" s="44">
        <v>5200</v>
      </c>
      <c r="D56" s="20">
        <v>43</v>
      </c>
      <c r="E56" s="17">
        <v>30309</v>
      </c>
      <c r="F56" s="16" t="s">
        <v>148</v>
      </c>
      <c r="G56" s="16" t="s">
        <v>25</v>
      </c>
      <c r="H56" s="18">
        <v>18400</v>
      </c>
      <c r="I56" s="19">
        <v>62000</v>
      </c>
      <c r="J56" s="16">
        <v>33</v>
      </c>
      <c r="K56" s="16" t="str">
        <f t="shared" si="0"/>
        <v>Alto</v>
      </c>
      <c r="L56" s="16" t="s">
        <v>14</v>
      </c>
      <c r="M56" s="19">
        <v>31000</v>
      </c>
      <c r="N56" s="16" t="str">
        <f t="shared" si="4"/>
        <v>Aprovado</v>
      </c>
      <c r="O56" s="16" t="str">
        <f t="shared" si="2"/>
        <v>Aprovado</v>
      </c>
      <c r="P56" s="29">
        <f t="shared" si="3"/>
        <v>2480</v>
      </c>
      <c r="AG56" s="26">
        <v>71</v>
      </c>
      <c r="AH56">
        <v>4</v>
      </c>
    </row>
    <row r="57" spans="1:34" x14ac:dyDescent="0.3">
      <c r="A57" s="20" t="s">
        <v>171</v>
      </c>
      <c r="B57" s="16" t="s">
        <v>218</v>
      </c>
      <c r="C57" s="44">
        <v>14300</v>
      </c>
      <c r="D57" s="20">
        <v>26</v>
      </c>
      <c r="E57" s="17">
        <v>36619</v>
      </c>
      <c r="F57" s="16" t="s">
        <v>149</v>
      </c>
      <c r="G57" s="16" t="s">
        <v>16</v>
      </c>
      <c r="H57" s="18">
        <v>26800</v>
      </c>
      <c r="I57" s="19">
        <v>42500</v>
      </c>
      <c r="J57" s="16">
        <v>29</v>
      </c>
      <c r="K57" s="16" t="str">
        <f t="shared" si="0"/>
        <v>Alto</v>
      </c>
      <c r="L57" s="16" t="s">
        <v>13</v>
      </c>
      <c r="M57" s="19">
        <v>66000</v>
      </c>
      <c r="N57" s="16" t="str">
        <f t="shared" si="4"/>
        <v>Negado</v>
      </c>
      <c r="O57" s="16" t="str">
        <f t="shared" si="2"/>
        <v>Aprovado</v>
      </c>
      <c r="P57" s="29">
        <f t="shared" si="3"/>
        <v>5280</v>
      </c>
      <c r="AG57" s="26">
        <v>72</v>
      </c>
      <c r="AH57">
        <v>6</v>
      </c>
    </row>
    <row r="58" spans="1:34" x14ac:dyDescent="0.3">
      <c r="A58" s="20" t="s">
        <v>171</v>
      </c>
      <c r="B58" s="16" t="s">
        <v>219</v>
      </c>
      <c r="C58" s="44">
        <v>0</v>
      </c>
      <c r="D58" s="20">
        <v>68</v>
      </c>
      <c r="E58" s="17">
        <v>21079</v>
      </c>
      <c r="F58" s="16" t="s">
        <v>148</v>
      </c>
      <c r="G58" s="16" t="s">
        <v>25</v>
      </c>
      <c r="H58" s="18">
        <v>3600</v>
      </c>
      <c r="I58" s="19">
        <v>64500</v>
      </c>
      <c r="J58" s="16">
        <v>32</v>
      </c>
      <c r="K58" s="16" t="str">
        <f t="shared" si="0"/>
        <v>Alto</v>
      </c>
      <c r="L58" s="16" t="s">
        <v>13</v>
      </c>
      <c r="M58" s="19">
        <v>35500</v>
      </c>
      <c r="N58" s="16" t="str">
        <f t="shared" si="4"/>
        <v>Negado</v>
      </c>
      <c r="O58" s="16" t="str">
        <f t="shared" si="2"/>
        <v>Negado</v>
      </c>
      <c r="P58" s="29">
        <f t="shared" si="3"/>
        <v>0</v>
      </c>
      <c r="AG58" s="26">
        <v>73</v>
      </c>
      <c r="AH58">
        <v>8</v>
      </c>
    </row>
    <row r="59" spans="1:34" x14ac:dyDescent="0.3">
      <c r="A59" s="20" t="s">
        <v>171</v>
      </c>
      <c r="B59" s="16" t="s">
        <v>220</v>
      </c>
      <c r="C59" s="44">
        <v>3600</v>
      </c>
      <c r="D59" s="20">
        <v>49</v>
      </c>
      <c r="E59" s="17">
        <v>28136</v>
      </c>
      <c r="F59" s="16" t="s">
        <v>132</v>
      </c>
      <c r="G59" s="16" t="s">
        <v>23</v>
      </c>
      <c r="H59" s="18">
        <v>20300</v>
      </c>
      <c r="I59" s="19">
        <v>12000</v>
      </c>
      <c r="J59" s="16">
        <v>27</v>
      </c>
      <c r="K59" s="16" t="str">
        <f t="shared" si="0"/>
        <v>Alto</v>
      </c>
      <c r="L59" s="16" t="s">
        <v>13</v>
      </c>
      <c r="M59" s="19">
        <v>67500</v>
      </c>
      <c r="N59" s="16" t="str">
        <f t="shared" si="4"/>
        <v>Negado</v>
      </c>
      <c r="O59" s="16" t="str">
        <f t="shared" si="2"/>
        <v>Aprovado</v>
      </c>
      <c r="P59" s="29">
        <f t="shared" si="3"/>
        <v>5400</v>
      </c>
      <c r="AG59" s="26">
        <v>74</v>
      </c>
      <c r="AH59">
        <v>7</v>
      </c>
    </row>
    <row r="60" spans="1:34" x14ac:dyDescent="0.3">
      <c r="A60" s="20" t="s">
        <v>171</v>
      </c>
      <c r="B60" s="16" t="s">
        <v>221</v>
      </c>
      <c r="C60" s="44">
        <v>20000</v>
      </c>
      <c r="D60" s="20">
        <v>35</v>
      </c>
      <c r="E60" s="17" t="s">
        <v>130</v>
      </c>
      <c r="F60" s="16" t="s">
        <v>142</v>
      </c>
      <c r="G60" s="16" t="s">
        <v>23</v>
      </c>
      <c r="H60" s="18">
        <v>28000</v>
      </c>
      <c r="I60" s="19">
        <v>76500</v>
      </c>
      <c r="J60" s="16">
        <v>39</v>
      </c>
      <c r="K60" s="16" t="str">
        <f t="shared" si="0"/>
        <v>Alto</v>
      </c>
      <c r="L60" s="16" t="s">
        <v>14</v>
      </c>
      <c r="M60" s="19">
        <v>32000</v>
      </c>
      <c r="N60" s="16" t="str">
        <f t="shared" si="4"/>
        <v>Aprovado</v>
      </c>
      <c r="O60" s="16" t="str">
        <f t="shared" si="2"/>
        <v>Aprovado</v>
      </c>
      <c r="P60" s="29">
        <f t="shared" si="3"/>
        <v>2560</v>
      </c>
      <c r="AG60" s="26" t="s">
        <v>128</v>
      </c>
      <c r="AH60">
        <v>400</v>
      </c>
    </row>
    <row r="61" spans="1:34" x14ac:dyDescent="0.3">
      <c r="A61" s="20" t="s">
        <v>172</v>
      </c>
      <c r="B61" s="16" t="s">
        <v>222</v>
      </c>
      <c r="C61" s="44">
        <v>7400</v>
      </c>
      <c r="D61" s="20">
        <v>69</v>
      </c>
      <c r="E61" s="17">
        <v>20785</v>
      </c>
      <c r="F61" s="16" t="s">
        <v>135</v>
      </c>
      <c r="G61" s="16" t="s">
        <v>17</v>
      </c>
      <c r="H61" s="18">
        <v>16000</v>
      </c>
      <c r="I61" s="19">
        <v>48000</v>
      </c>
      <c r="J61" s="16">
        <v>29</v>
      </c>
      <c r="K61" s="16" t="str">
        <f t="shared" si="0"/>
        <v>Alto</v>
      </c>
      <c r="L61" s="16" t="s">
        <v>14</v>
      </c>
      <c r="M61" s="19">
        <v>74500</v>
      </c>
      <c r="N61" s="16" t="str">
        <f t="shared" si="4"/>
        <v>Aprovado</v>
      </c>
      <c r="O61" s="16" t="str">
        <f t="shared" si="2"/>
        <v>Aprovado</v>
      </c>
      <c r="P61" s="29">
        <f t="shared" si="3"/>
        <v>0</v>
      </c>
    </row>
    <row r="62" spans="1:34" x14ac:dyDescent="0.3">
      <c r="A62" s="20" t="s">
        <v>171</v>
      </c>
      <c r="B62" s="16" t="s">
        <v>223</v>
      </c>
      <c r="C62" s="44">
        <v>0</v>
      </c>
      <c r="D62" s="20">
        <v>61</v>
      </c>
      <c r="E62" s="17">
        <v>23928</v>
      </c>
      <c r="F62" s="16" t="s">
        <v>134</v>
      </c>
      <c r="G62" s="16" t="s">
        <v>15</v>
      </c>
      <c r="H62" s="18">
        <v>22900</v>
      </c>
      <c r="I62" s="19">
        <v>7500</v>
      </c>
      <c r="J62" s="16">
        <v>12</v>
      </c>
      <c r="K62" s="16" t="str">
        <f t="shared" si="0"/>
        <v>Médio</v>
      </c>
      <c r="L62" s="16" t="s">
        <v>14</v>
      </c>
      <c r="M62" s="19">
        <v>73000</v>
      </c>
      <c r="N62" s="16" t="str">
        <f t="shared" si="4"/>
        <v>Aprovado</v>
      </c>
      <c r="O62" s="16" t="str">
        <f t="shared" si="2"/>
        <v>Aprovado</v>
      </c>
      <c r="P62" s="29">
        <f t="shared" si="3"/>
        <v>5840</v>
      </c>
    </row>
    <row r="63" spans="1:34" x14ac:dyDescent="0.3">
      <c r="A63" s="20" t="s">
        <v>171</v>
      </c>
      <c r="B63" s="16" t="s">
        <v>223</v>
      </c>
      <c r="C63" s="44">
        <v>0</v>
      </c>
      <c r="D63" s="20">
        <v>61</v>
      </c>
      <c r="E63" s="17">
        <v>23928</v>
      </c>
      <c r="F63" s="16" t="s">
        <v>134</v>
      </c>
      <c r="G63" s="16" t="s">
        <v>15</v>
      </c>
      <c r="H63" s="18">
        <v>22900</v>
      </c>
      <c r="I63" s="19">
        <v>7500</v>
      </c>
      <c r="J63" s="16">
        <v>12</v>
      </c>
      <c r="K63" s="16" t="str">
        <f t="shared" si="0"/>
        <v>Médio</v>
      </c>
      <c r="L63" s="16" t="s">
        <v>14</v>
      </c>
      <c r="M63" s="19">
        <v>33000</v>
      </c>
      <c r="N63" s="16" t="str">
        <f t="shared" si="4"/>
        <v>Aprovado</v>
      </c>
      <c r="O63" s="16" t="str">
        <f t="shared" si="2"/>
        <v>Aprovado</v>
      </c>
      <c r="P63" s="29">
        <f t="shared" si="3"/>
        <v>2640</v>
      </c>
    </row>
    <row r="64" spans="1:34" x14ac:dyDescent="0.3">
      <c r="A64" s="20" t="s">
        <v>171</v>
      </c>
      <c r="B64" s="16" t="s">
        <v>224</v>
      </c>
      <c r="C64" s="44">
        <v>31300</v>
      </c>
      <c r="D64" s="20">
        <v>30</v>
      </c>
      <c r="E64" s="17">
        <v>35180</v>
      </c>
      <c r="F64" s="16" t="s">
        <v>140</v>
      </c>
      <c r="G64" s="16" t="s">
        <v>17</v>
      </c>
      <c r="H64" s="18">
        <v>13800</v>
      </c>
      <c r="I64" s="19">
        <v>42000</v>
      </c>
      <c r="J64" s="16">
        <v>29</v>
      </c>
      <c r="K64" s="16" t="str">
        <f t="shared" si="0"/>
        <v>Alto</v>
      </c>
      <c r="L64" s="16" t="s">
        <v>62</v>
      </c>
      <c r="M64" s="19">
        <v>7000</v>
      </c>
      <c r="N64" s="16" t="str">
        <f t="shared" si="4"/>
        <v>Aprovado</v>
      </c>
      <c r="O64" s="16" t="str">
        <f t="shared" si="2"/>
        <v>Aprovado</v>
      </c>
      <c r="P64" s="29">
        <f t="shared" si="3"/>
        <v>560</v>
      </c>
    </row>
    <row r="65" spans="1:16" x14ac:dyDescent="0.3">
      <c r="A65" s="20" t="s">
        <v>172</v>
      </c>
      <c r="B65" s="16" t="s">
        <v>225</v>
      </c>
      <c r="C65" s="44">
        <v>17700</v>
      </c>
      <c r="D65" s="20">
        <v>56</v>
      </c>
      <c r="E65" s="17">
        <v>25705</v>
      </c>
      <c r="F65" s="16" t="s">
        <v>144</v>
      </c>
      <c r="G65" s="16" t="s">
        <v>18</v>
      </c>
      <c r="H65" s="18">
        <v>11100</v>
      </c>
      <c r="I65" s="19">
        <v>13000</v>
      </c>
      <c r="J65" s="16">
        <v>38</v>
      </c>
      <c r="K65" s="16" t="str">
        <f t="shared" si="0"/>
        <v>Alto</v>
      </c>
      <c r="L65" s="16" t="s">
        <v>14</v>
      </c>
      <c r="M65" s="19">
        <v>88000</v>
      </c>
      <c r="N65" s="16" t="str">
        <f t="shared" si="4"/>
        <v>Aprovado</v>
      </c>
      <c r="O65" s="16" t="str">
        <f t="shared" si="2"/>
        <v>Aprovado</v>
      </c>
      <c r="P65" s="29">
        <f t="shared" si="3"/>
        <v>0</v>
      </c>
    </row>
    <row r="66" spans="1:16" x14ac:dyDescent="0.3">
      <c r="A66" s="20" t="s">
        <v>171</v>
      </c>
      <c r="B66" s="16" t="s">
        <v>226</v>
      </c>
      <c r="C66" s="44">
        <v>21300</v>
      </c>
      <c r="D66" s="20">
        <v>68</v>
      </c>
      <c r="E66" s="17">
        <v>21145</v>
      </c>
      <c r="F66" s="16" t="s">
        <v>150</v>
      </c>
      <c r="G66" s="16" t="s">
        <v>15</v>
      </c>
      <c r="H66" s="18">
        <v>24500</v>
      </c>
      <c r="I66" s="19">
        <v>16500</v>
      </c>
      <c r="J66" s="16">
        <v>22</v>
      </c>
      <c r="K66" s="16" t="str">
        <f t="shared" ref="K66:K129" si="5">IF(J66&gt;25,"Alto", IF(J66&lt;=10,"Baixo","Médio"))</f>
        <v>Médio</v>
      </c>
      <c r="L66" s="16" t="s">
        <v>14</v>
      </c>
      <c r="M66" s="19">
        <v>34500</v>
      </c>
      <c r="N66" s="16" t="str">
        <f t="shared" si="4"/>
        <v>Aprovado</v>
      </c>
      <c r="O66" s="16" t="str">
        <f t="shared" ref="O66:O129" si="6">IF(AND(I66&gt;50000,L66="Sim"),"Negado","Aprovado")</f>
        <v>Aprovado</v>
      </c>
      <c r="P66" s="29">
        <f t="shared" ref="P66:P129" si="7">IF(AND(N66="Negado",O66="Negado"),0, IF(A66="Ativo",M66*8%,0))</f>
        <v>2760</v>
      </c>
    </row>
    <row r="67" spans="1:16" x14ac:dyDescent="0.3">
      <c r="A67" s="20" t="s">
        <v>171</v>
      </c>
      <c r="B67" s="16" t="s">
        <v>227</v>
      </c>
      <c r="C67" s="44">
        <v>30800</v>
      </c>
      <c r="D67" s="20">
        <v>60</v>
      </c>
      <c r="E67" s="17">
        <v>24082</v>
      </c>
      <c r="F67" s="16" t="s">
        <v>148</v>
      </c>
      <c r="G67" s="16" t="s">
        <v>25</v>
      </c>
      <c r="H67" s="18">
        <v>13800</v>
      </c>
      <c r="I67" s="19">
        <v>45500</v>
      </c>
      <c r="J67" s="16">
        <v>30</v>
      </c>
      <c r="K67" s="16" t="str">
        <f t="shared" si="5"/>
        <v>Alto</v>
      </c>
      <c r="L67" s="16" t="s">
        <v>14</v>
      </c>
      <c r="M67" s="19">
        <v>17500</v>
      </c>
      <c r="N67" s="16" t="str">
        <f t="shared" si="4"/>
        <v>Aprovado</v>
      </c>
      <c r="O67" s="16" t="str">
        <f t="shared" si="6"/>
        <v>Aprovado</v>
      </c>
      <c r="P67" s="29">
        <f t="shared" si="7"/>
        <v>1400</v>
      </c>
    </row>
    <row r="68" spans="1:16" x14ac:dyDescent="0.3">
      <c r="A68" s="20" t="s">
        <v>171</v>
      </c>
      <c r="B68" s="16" t="s">
        <v>228</v>
      </c>
      <c r="C68" s="44">
        <v>11000</v>
      </c>
      <c r="D68" s="20">
        <v>33</v>
      </c>
      <c r="E68" s="17">
        <v>34070</v>
      </c>
      <c r="F68" s="16" t="s">
        <v>134</v>
      </c>
      <c r="G68" s="16" t="s">
        <v>15</v>
      </c>
      <c r="H68" s="18">
        <v>29300</v>
      </c>
      <c r="I68" s="19">
        <v>69000</v>
      </c>
      <c r="J68" s="16">
        <v>0</v>
      </c>
      <c r="K68" s="16" t="str">
        <f t="shared" si="5"/>
        <v>Baixo</v>
      </c>
      <c r="L68" s="16" t="s">
        <v>13</v>
      </c>
      <c r="M68" s="19">
        <v>4500</v>
      </c>
      <c r="N68" s="16" t="str">
        <f t="shared" si="4"/>
        <v>Aprovado</v>
      </c>
      <c r="O68" s="16" t="str">
        <f t="shared" si="6"/>
        <v>Negado</v>
      </c>
      <c r="P68" s="29">
        <f t="shared" si="7"/>
        <v>360</v>
      </c>
    </row>
    <row r="69" spans="1:16" x14ac:dyDescent="0.3">
      <c r="A69" s="20" t="s">
        <v>171</v>
      </c>
      <c r="B69" s="16" t="s">
        <v>229</v>
      </c>
      <c r="C69" s="44">
        <v>6200</v>
      </c>
      <c r="D69" s="20">
        <v>63</v>
      </c>
      <c r="E69" s="17">
        <v>23006</v>
      </c>
      <c r="F69" s="16" t="s">
        <v>151</v>
      </c>
      <c r="G69" s="16" t="s">
        <v>164</v>
      </c>
      <c r="H69" s="18">
        <v>11200</v>
      </c>
      <c r="I69" s="19">
        <v>0</v>
      </c>
      <c r="J69" s="16">
        <v>41</v>
      </c>
      <c r="K69" s="16" t="str">
        <f t="shared" si="5"/>
        <v>Alto</v>
      </c>
      <c r="L69" s="16" t="s">
        <v>62</v>
      </c>
      <c r="M69" s="19">
        <v>83500</v>
      </c>
      <c r="N69" s="16" t="str">
        <f t="shared" si="4"/>
        <v>Aprovado</v>
      </c>
      <c r="O69" s="16" t="str">
        <f t="shared" si="6"/>
        <v>Aprovado</v>
      </c>
      <c r="P69" s="29">
        <f t="shared" si="7"/>
        <v>6680</v>
      </c>
    </row>
    <row r="70" spans="1:16" x14ac:dyDescent="0.3">
      <c r="A70" s="20" t="s">
        <v>171</v>
      </c>
      <c r="B70" s="16" t="s">
        <v>230</v>
      </c>
      <c r="C70" s="44">
        <v>0</v>
      </c>
      <c r="D70" s="20">
        <v>27</v>
      </c>
      <c r="E70" s="17">
        <v>36255</v>
      </c>
      <c r="F70" s="16" t="s">
        <v>135</v>
      </c>
      <c r="G70" s="16" t="s">
        <v>17</v>
      </c>
      <c r="H70" s="18">
        <v>14000</v>
      </c>
      <c r="I70" s="19">
        <v>63500</v>
      </c>
      <c r="J70" s="16">
        <v>24</v>
      </c>
      <c r="K70" s="16" t="str">
        <f t="shared" si="5"/>
        <v>Médio</v>
      </c>
      <c r="L70" s="16" t="s">
        <v>14</v>
      </c>
      <c r="M70" s="19">
        <v>87000</v>
      </c>
      <c r="N70" s="16" t="str">
        <f t="shared" si="4"/>
        <v>Aprovado</v>
      </c>
      <c r="O70" s="16" t="str">
        <f t="shared" si="6"/>
        <v>Aprovado</v>
      </c>
      <c r="P70" s="29">
        <f t="shared" si="7"/>
        <v>6960</v>
      </c>
    </row>
    <row r="71" spans="1:16" x14ac:dyDescent="0.3">
      <c r="A71" s="20" t="s">
        <v>171</v>
      </c>
      <c r="B71" s="16" t="s">
        <v>231</v>
      </c>
      <c r="C71" s="44">
        <v>0</v>
      </c>
      <c r="D71" s="20">
        <v>64</v>
      </c>
      <c r="E71" s="17">
        <v>22828</v>
      </c>
      <c r="F71" s="16" t="s">
        <v>149</v>
      </c>
      <c r="G71" s="16" t="s">
        <v>16</v>
      </c>
      <c r="H71" s="18">
        <v>2900</v>
      </c>
      <c r="I71" s="19">
        <v>76000</v>
      </c>
      <c r="J71" s="16">
        <v>32</v>
      </c>
      <c r="K71" s="16" t="str">
        <f t="shared" si="5"/>
        <v>Alto</v>
      </c>
      <c r="L71" s="16" t="s">
        <v>14</v>
      </c>
      <c r="M71" s="19">
        <v>72500</v>
      </c>
      <c r="N71" s="16" t="str">
        <f t="shared" si="4"/>
        <v>Aprovado</v>
      </c>
      <c r="O71" s="16" t="str">
        <f t="shared" si="6"/>
        <v>Aprovado</v>
      </c>
      <c r="P71" s="29">
        <f t="shared" si="7"/>
        <v>5800</v>
      </c>
    </row>
    <row r="72" spans="1:16" x14ac:dyDescent="0.3">
      <c r="A72" s="20" t="s">
        <v>171</v>
      </c>
      <c r="B72" s="16" t="s">
        <v>232</v>
      </c>
      <c r="C72" s="44">
        <v>35800</v>
      </c>
      <c r="D72" s="20">
        <v>70</v>
      </c>
      <c r="E72" s="17">
        <v>20515</v>
      </c>
      <c r="F72" s="16" t="s">
        <v>138</v>
      </c>
      <c r="G72" s="16" t="s">
        <v>27</v>
      </c>
      <c r="H72" s="18">
        <v>19500</v>
      </c>
      <c r="I72" s="19">
        <v>62000</v>
      </c>
      <c r="J72" s="16">
        <v>45</v>
      </c>
      <c r="K72" s="16" t="str">
        <f t="shared" si="5"/>
        <v>Alto</v>
      </c>
      <c r="L72" s="16" t="s">
        <v>13</v>
      </c>
      <c r="M72" s="19">
        <v>35500</v>
      </c>
      <c r="N72" s="16" t="str">
        <f t="shared" si="4"/>
        <v>Negado</v>
      </c>
      <c r="O72" s="16" t="str">
        <f t="shared" si="6"/>
        <v>Negado</v>
      </c>
      <c r="P72" s="29">
        <f t="shared" si="7"/>
        <v>0</v>
      </c>
    </row>
    <row r="73" spans="1:16" x14ac:dyDescent="0.3">
      <c r="A73" s="20" t="s">
        <v>171</v>
      </c>
      <c r="B73" s="16" t="s">
        <v>233</v>
      </c>
      <c r="C73" s="44">
        <v>22600</v>
      </c>
      <c r="D73" s="20">
        <v>38</v>
      </c>
      <c r="E73" s="17">
        <v>32166</v>
      </c>
      <c r="F73" s="16" t="s">
        <v>135</v>
      </c>
      <c r="G73" s="16" t="s">
        <v>17</v>
      </c>
      <c r="H73" s="18">
        <v>19500</v>
      </c>
      <c r="I73" s="19">
        <v>39000</v>
      </c>
      <c r="J73" s="16">
        <v>25</v>
      </c>
      <c r="K73" s="16" t="str">
        <f t="shared" si="5"/>
        <v>Médio</v>
      </c>
      <c r="L73" s="16" t="s">
        <v>14</v>
      </c>
      <c r="M73" s="19">
        <v>88500</v>
      </c>
      <c r="N73" s="16" t="str">
        <f t="shared" si="4"/>
        <v>Aprovado</v>
      </c>
      <c r="O73" s="16" t="str">
        <f t="shared" si="6"/>
        <v>Aprovado</v>
      </c>
      <c r="P73" s="29">
        <f t="shared" si="7"/>
        <v>7080</v>
      </c>
    </row>
    <row r="74" spans="1:16" x14ac:dyDescent="0.3">
      <c r="A74" s="20" t="s">
        <v>172</v>
      </c>
      <c r="B74" s="16" t="s">
        <v>234</v>
      </c>
      <c r="C74" s="44">
        <v>15800</v>
      </c>
      <c r="D74" s="20">
        <v>57</v>
      </c>
      <c r="E74" s="17">
        <v>25324</v>
      </c>
      <c r="F74" s="16" t="s">
        <v>140</v>
      </c>
      <c r="G74" s="16" t="s">
        <v>17</v>
      </c>
      <c r="H74" s="18">
        <v>9500</v>
      </c>
      <c r="I74" s="19">
        <v>58000</v>
      </c>
      <c r="J74" s="16">
        <v>23</v>
      </c>
      <c r="K74" s="16" t="str">
        <f t="shared" si="5"/>
        <v>Médio</v>
      </c>
      <c r="L74" s="16" t="s">
        <v>14</v>
      </c>
      <c r="M74" s="19">
        <v>81500</v>
      </c>
      <c r="N74" s="16" t="str">
        <f t="shared" si="4"/>
        <v>Aprovado</v>
      </c>
      <c r="O74" s="16" t="str">
        <f t="shared" si="6"/>
        <v>Aprovado</v>
      </c>
      <c r="P74" s="29">
        <f t="shared" si="7"/>
        <v>0</v>
      </c>
    </row>
    <row r="75" spans="1:16" x14ac:dyDescent="0.3">
      <c r="A75" s="20" t="s">
        <v>171</v>
      </c>
      <c r="B75" s="16" t="s">
        <v>235</v>
      </c>
      <c r="C75" s="44">
        <v>32300</v>
      </c>
      <c r="D75" s="20">
        <v>24</v>
      </c>
      <c r="E75" s="17">
        <v>37259</v>
      </c>
      <c r="F75" s="16" t="s">
        <v>21</v>
      </c>
      <c r="G75" s="16" t="s">
        <v>21</v>
      </c>
      <c r="H75" s="18">
        <v>25200</v>
      </c>
      <c r="I75" s="19">
        <v>0</v>
      </c>
      <c r="J75" s="16">
        <v>10</v>
      </c>
      <c r="K75" s="16" t="str">
        <f t="shared" si="5"/>
        <v>Baixo</v>
      </c>
      <c r="L75" s="16" t="s">
        <v>14</v>
      </c>
      <c r="M75" s="19">
        <v>69500</v>
      </c>
      <c r="N75" s="16" t="str">
        <f t="shared" si="4"/>
        <v>Aprovado</v>
      </c>
      <c r="O75" s="16" t="str">
        <f t="shared" si="6"/>
        <v>Aprovado</v>
      </c>
      <c r="P75" s="29">
        <f t="shared" si="7"/>
        <v>5560</v>
      </c>
    </row>
    <row r="76" spans="1:16" x14ac:dyDescent="0.3">
      <c r="A76" s="20" t="s">
        <v>172</v>
      </c>
      <c r="B76" s="16" t="s">
        <v>42</v>
      </c>
      <c r="C76" s="44">
        <v>32400</v>
      </c>
      <c r="D76" s="20">
        <v>49</v>
      </c>
      <c r="E76" s="17">
        <v>28286</v>
      </c>
      <c r="F76" s="16" t="s">
        <v>136</v>
      </c>
      <c r="G76" s="16" t="s">
        <v>28</v>
      </c>
      <c r="H76" s="18">
        <v>21900</v>
      </c>
      <c r="I76" s="19">
        <v>69000</v>
      </c>
      <c r="J76" s="16">
        <v>4</v>
      </c>
      <c r="K76" s="16" t="str">
        <f t="shared" si="5"/>
        <v>Baixo</v>
      </c>
      <c r="L76" s="16" t="s">
        <v>14</v>
      </c>
      <c r="M76" s="19">
        <v>80500</v>
      </c>
      <c r="N76" s="16" t="str">
        <f t="shared" si="4"/>
        <v>Aprovado</v>
      </c>
      <c r="O76" s="16" t="str">
        <f t="shared" si="6"/>
        <v>Aprovado</v>
      </c>
      <c r="P76" s="29">
        <f t="shared" si="7"/>
        <v>0</v>
      </c>
    </row>
    <row r="77" spans="1:16" x14ac:dyDescent="0.3">
      <c r="A77" s="20" t="s">
        <v>171</v>
      </c>
      <c r="B77" s="16" t="s">
        <v>236</v>
      </c>
      <c r="C77" s="44">
        <v>26500</v>
      </c>
      <c r="D77" s="20">
        <v>47</v>
      </c>
      <c r="E77" s="17">
        <v>28841</v>
      </c>
      <c r="F77" s="16" t="s">
        <v>21</v>
      </c>
      <c r="G77" s="16" t="s">
        <v>21</v>
      </c>
      <c r="H77" s="18">
        <v>21300</v>
      </c>
      <c r="I77" s="19">
        <v>62000</v>
      </c>
      <c r="J77" s="16">
        <v>37</v>
      </c>
      <c r="K77" s="16" t="str">
        <f t="shared" si="5"/>
        <v>Alto</v>
      </c>
      <c r="L77" s="16" t="s">
        <v>13</v>
      </c>
      <c r="M77" s="19">
        <v>92500</v>
      </c>
      <c r="N77" s="16" t="str">
        <f t="shared" si="4"/>
        <v>Negado</v>
      </c>
      <c r="O77" s="16" t="str">
        <f t="shared" si="6"/>
        <v>Negado</v>
      </c>
      <c r="P77" s="29">
        <f t="shared" si="7"/>
        <v>0</v>
      </c>
    </row>
    <row r="78" spans="1:16" x14ac:dyDescent="0.3">
      <c r="A78" s="20" t="s">
        <v>171</v>
      </c>
      <c r="B78" s="16" t="s">
        <v>237</v>
      </c>
      <c r="C78" s="44">
        <v>29300</v>
      </c>
      <c r="D78" s="20">
        <v>25</v>
      </c>
      <c r="E78" s="17">
        <v>37091</v>
      </c>
      <c r="F78" s="16" t="s">
        <v>137</v>
      </c>
      <c r="G78" s="16" t="s">
        <v>36</v>
      </c>
      <c r="H78" s="18">
        <v>28800</v>
      </c>
      <c r="I78" s="19">
        <v>0</v>
      </c>
      <c r="J78" s="16">
        <v>12</v>
      </c>
      <c r="K78" s="16" t="str">
        <f t="shared" si="5"/>
        <v>Médio</v>
      </c>
      <c r="L78" s="16" t="s">
        <v>14</v>
      </c>
      <c r="M78" s="19">
        <v>46500</v>
      </c>
      <c r="N78" s="16" t="str">
        <f t="shared" si="4"/>
        <v>Aprovado</v>
      </c>
      <c r="O78" s="16" t="str">
        <f t="shared" si="6"/>
        <v>Aprovado</v>
      </c>
      <c r="P78" s="29">
        <f t="shared" si="7"/>
        <v>3720</v>
      </c>
    </row>
    <row r="79" spans="1:16" x14ac:dyDescent="0.3">
      <c r="A79" s="20" t="s">
        <v>171</v>
      </c>
      <c r="B79" s="16" t="s">
        <v>238</v>
      </c>
      <c r="C79" s="44">
        <v>14700</v>
      </c>
      <c r="D79" s="20">
        <v>52</v>
      </c>
      <c r="E79" s="17">
        <v>26921</v>
      </c>
      <c r="F79" s="16" t="s">
        <v>140</v>
      </c>
      <c r="G79" s="16" t="s">
        <v>17</v>
      </c>
      <c r="H79" s="18">
        <v>7300</v>
      </c>
      <c r="I79" s="19">
        <v>74000</v>
      </c>
      <c r="J79" s="16">
        <v>40</v>
      </c>
      <c r="K79" s="16" t="str">
        <f t="shared" si="5"/>
        <v>Alto</v>
      </c>
      <c r="L79" s="16" t="s">
        <v>14</v>
      </c>
      <c r="M79" s="19">
        <v>34500</v>
      </c>
      <c r="N79" s="16" t="str">
        <f t="shared" si="4"/>
        <v>Aprovado</v>
      </c>
      <c r="O79" s="16" t="str">
        <f t="shared" si="6"/>
        <v>Aprovado</v>
      </c>
      <c r="P79" s="29">
        <f t="shared" si="7"/>
        <v>2760</v>
      </c>
    </row>
    <row r="80" spans="1:16" x14ac:dyDescent="0.3">
      <c r="A80" s="20" t="s">
        <v>172</v>
      </c>
      <c r="B80" s="16" t="s">
        <v>238</v>
      </c>
      <c r="C80" s="44">
        <v>0</v>
      </c>
      <c r="D80" s="20">
        <v>46</v>
      </c>
      <c r="E80" s="17">
        <v>29427</v>
      </c>
      <c r="F80" s="16" t="s">
        <v>149</v>
      </c>
      <c r="G80" s="16" t="s">
        <v>16</v>
      </c>
      <c r="H80" s="18">
        <v>0</v>
      </c>
      <c r="I80" s="19">
        <v>37500</v>
      </c>
      <c r="J80" s="16">
        <v>0</v>
      </c>
      <c r="K80" s="16" t="str">
        <f t="shared" si="5"/>
        <v>Baixo</v>
      </c>
      <c r="L80" s="16" t="s">
        <v>14</v>
      </c>
      <c r="M80" s="19">
        <v>77000</v>
      </c>
      <c r="N80" s="16" t="str">
        <f t="shared" si="4"/>
        <v>Aprovado</v>
      </c>
      <c r="O80" s="16" t="str">
        <f t="shared" si="6"/>
        <v>Aprovado</v>
      </c>
      <c r="P80" s="29">
        <f t="shared" si="7"/>
        <v>0</v>
      </c>
    </row>
    <row r="81" spans="1:16" x14ac:dyDescent="0.3">
      <c r="A81" s="20" t="s">
        <v>172</v>
      </c>
      <c r="B81" s="16" t="s">
        <v>238</v>
      </c>
      <c r="C81" s="44">
        <v>0</v>
      </c>
      <c r="D81" s="20">
        <v>46</v>
      </c>
      <c r="E81" s="17">
        <v>29427</v>
      </c>
      <c r="F81" s="16" t="s">
        <v>149</v>
      </c>
      <c r="G81" s="16" t="s">
        <v>16</v>
      </c>
      <c r="H81" s="18">
        <v>0</v>
      </c>
      <c r="I81" s="19">
        <v>37500</v>
      </c>
      <c r="J81" s="16">
        <v>0</v>
      </c>
      <c r="K81" s="16" t="str">
        <f t="shared" si="5"/>
        <v>Baixo</v>
      </c>
      <c r="L81" s="16" t="s">
        <v>14</v>
      </c>
      <c r="M81" s="19">
        <v>21500</v>
      </c>
      <c r="N81" s="16" t="str">
        <f t="shared" si="4"/>
        <v>Aprovado</v>
      </c>
      <c r="O81" s="16" t="str">
        <f t="shared" si="6"/>
        <v>Aprovado</v>
      </c>
      <c r="P81" s="29">
        <f t="shared" si="7"/>
        <v>0</v>
      </c>
    </row>
    <row r="82" spans="1:16" x14ac:dyDescent="0.3">
      <c r="A82" s="20" t="s">
        <v>171</v>
      </c>
      <c r="B82" s="16" t="s">
        <v>239</v>
      </c>
      <c r="C82" s="44">
        <v>5800</v>
      </c>
      <c r="D82" s="20">
        <v>62</v>
      </c>
      <c r="E82" s="17" t="s">
        <v>130</v>
      </c>
      <c r="F82" s="16" t="s">
        <v>132</v>
      </c>
      <c r="G82" s="16" t="s">
        <v>23</v>
      </c>
      <c r="H82" s="18">
        <v>1900</v>
      </c>
      <c r="I82" s="19">
        <v>3500</v>
      </c>
      <c r="J82" s="16">
        <v>19</v>
      </c>
      <c r="K82" s="16" t="str">
        <f t="shared" si="5"/>
        <v>Médio</v>
      </c>
      <c r="L82" s="16" t="s">
        <v>14</v>
      </c>
      <c r="M82" s="19">
        <v>62000</v>
      </c>
      <c r="N82" s="16" t="str">
        <f t="shared" si="4"/>
        <v>Aprovado</v>
      </c>
      <c r="O82" s="16" t="str">
        <f t="shared" si="6"/>
        <v>Aprovado</v>
      </c>
      <c r="P82" s="29">
        <f t="shared" si="7"/>
        <v>4960</v>
      </c>
    </row>
    <row r="83" spans="1:16" x14ac:dyDescent="0.3">
      <c r="A83" s="20" t="s">
        <v>171</v>
      </c>
      <c r="B83" s="16" t="s">
        <v>240</v>
      </c>
      <c r="C83" s="44">
        <v>14400</v>
      </c>
      <c r="D83" s="20">
        <v>25</v>
      </c>
      <c r="E83" s="17">
        <v>37026</v>
      </c>
      <c r="F83" s="16" t="s">
        <v>134</v>
      </c>
      <c r="G83" s="16" t="s">
        <v>15</v>
      </c>
      <c r="H83" s="18">
        <v>28200</v>
      </c>
      <c r="I83" s="19">
        <v>0</v>
      </c>
      <c r="J83" s="16">
        <v>29</v>
      </c>
      <c r="K83" s="16" t="str">
        <f t="shared" si="5"/>
        <v>Alto</v>
      </c>
      <c r="L83" s="16" t="s">
        <v>14</v>
      </c>
      <c r="M83" s="19">
        <v>92500</v>
      </c>
      <c r="N83" s="16" t="str">
        <f t="shared" si="4"/>
        <v>Aprovado</v>
      </c>
      <c r="O83" s="16" t="str">
        <f t="shared" si="6"/>
        <v>Aprovado</v>
      </c>
      <c r="P83" s="29">
        <f t="shared" si="7"/>
        <v>7400</v>
      </c>
    </row>
    <row r="84" spans="1:16" x14ac:dyDescent="0.3">
      <c r="A84" s="20" t="s">
        <v>172</v>
      </c>
      <c r="B84" s="16" t="s">
        <v>241</v>
      </c>
      <c r="C84" s="44">
        <v>17300</v>
      </c>
      <c r="D84" s="20">
        <v>63</v>
      </c>
      <c r="E84" s="17">
        <v>23119</v>
      </c>
      <c r="F84" s="16" t="s">
        <v>137</v>
      </c>
      <c r="G84" s="16" t="s">
        <v>36</v>
      </c>
      <c r="H84" s="18">
        <v>9300</v>
      </c>
      <c r="I84" s="19">
        <v>48500</v>
      </c>
      <c r="J84" s="16">
        <v>28</v>
      </c>
      <c r="K84" s="16" t="str">
        <f t="shared" si="5"/>
        <v>Alto</v>
      </c>
      <c r="L84" s="16" t="s">
        <v>14</v>
      </c>
      <c r="M84" s="19">
        <v>20000</v>
      </c>
      <c r="N84" s="16" t="str">
        <f t="shared" si="4"/>
        <v>Aprovado</v>
      </c>
      <c r="O84" s="16" t="str">
        <f t="shared" si="6"/>
        <v>Aprovado</v>
      </c>
      <c r="P84" s="29">
        <f t="shared" si="7"/>
        <v>0</v>
      </c>
    </row>
    <row r="85" spans="1:16" x14ac:dyDescent="0.3">
      <c r="A85" s="20" t="s">
        <v>172</v>
      </c>
      <c r="B85" s="16" t="s">
        <v>242</v>
      </c>
      <c r="C85" s="44">
        <v>0</v>
      </c>
      <c r="D85" s="20">
        <v>60</v>
      </c>
      <c r="E85" s="17">
        <v>24091</v>
      </c>
      <c r="F85" s="16" t="s">
        <v>141</v>
      </c>
      <c r="G85" s="16" t="s">
        <v>33</v>
      </c>
      <c r="H85" s="18">
        <v>10100</v>
      </c>
      <c r="I85" s="19">
        <v>55000</v>
      </c>
      <c r="J85" s="16">
        <v>26</v>
      </c>
      <c r="K85" s="16" t="str">
        <f t="shared" si="5"/>
        <v>Alto</v>
      </c>
      <c r="L85" s="16" t="s">
        <v>14</v>
      </c>
      <c r="M85" s="19">
        <v>54000</v>
      </c>
      <c r="N85" s="16" t="str">
        <f t="shared" ref="N85:N148" si="8">IF(AND(K85="Alto",L85="Sim"),"Negado","Aprovado")</f>
        <v>Aprovado</v>
      </c>
      <c r="O85" s="16" t="str">
        <f t="shared" si="6"/>
        <v>Aprovado</v>
      </c>
      <c r="P85" s="29">
        <f t="shared" si="7"/>
        <v>0</v>
      </c>
    </row>
    <row r="86" spans="1:16" x14ac:dyDescent="0.3">
      <c r="A86" s="20" t="s">
        <v>171</v>
      </c>
      <c r="B86" s="16" t="s">
        <v>243</v>
      </c>
      <c r="C86" s="44">
        <v>27000</v>
      </c>
      <c r="D86" s="20">
        <v>33</v>
      </c>
      <c r="E86" s="17">
        <v>33881</v>
      </c>
      <c r="F86" s="16" t="s">
        <v>135</v>
      </c>
      <c r="G86" s="16" t="s">
        <v>17</v>
      </c>
      <c r="H86" s="18">
        <v>29700</v>
      </c>
      <c r="I86" s="19">
        <v>22000</v>
      </c>
      <c r="J86" s="16">
        <v>38</v>
      </c>
      <c r="K86" s="16" t="str">
        <f t="shared" si="5"/>
        <v>Alto</v>
      </c>
      <c r="L86" s="16" t="s">
        <v>14</v>
      </c>
      <c r="M86" s="19">
        <v>81000</v>
      </c>
      <c r="N86" s="16" t="str">
        <f t="shared" si="8"/>
        <v>Aprovado</v>
      </c>
      <c r="O86" s="16" t="str">
        <f t="shared" si="6"/>
        <v>Aprovado</v>
      </c>
      <c r="P86" s="29">
        <f t="shared" si="7"/>
        <v>6480</v>
      </c>
    </row>
    <row r="87" spans="1:16" x14ac:dyDescent="0.3">
      <c r="A87" s="20" t="s">
        <v>172</v>
      </c>
      <c r="B87" s="16" t="s">
        <v>244</v>
      </c>
      <c r="C87" s="44">
        <v>1400</v>
      </c>
      <c r="D87" s="20">
        <v>46</v>
      </c>
      <c r="E87" s="17">
        <v>29113</v>
      </c>
      <c r="F87" s="16" t="s">
        <v>143</v>
      </c>
      <c r="G87" s="16" t="s">
        <v>17</v>
      </c>
      <c r="H87" s="18">
        <v>15000</v>
      </c>
      <c r="I87" s="19">
        <v>32500</v>
      </c>
      <c r="J87" s="16">
        <v>40</v>
      </c>
      <c r="K87" s="16" t="str">
        <f t="shared" si="5"/>
        <v>Alto</v>
      </c>
      <c r="L87" s="16" t="s">
        <v>14</v>
      </c>
      <c r="M87" s="19">
        <v>4500</v>
      </c>
      <c r="N87" s="16" t="str">
        <f t="shared" si="8"/>
        <v>Aprovado</v>
      </c>
      <c r="O87" s="16" t="str">
        <f t="shared" si="6"/>
        <v>Aprovado</v>
      </c>
      <c r="P87" s="29">
        <f t="shared" si="7"/>
        <v>0</v>
      </c>
    </row>
    <row r="88" spans="1:16" x14ac:dyDescent="0.3">
      <c r="A88" s="20" t="s">
        <v>172</v>
      </c>
      <c r="B88" s="16" t="s">
        <v>244</v>
      </c>
      <c r="C88" s="44">
        <v>1400</v>
      </c>
      <c r="D88" s="20">
        <v>46</v>
      </c>
      <c r="E88" s="17">
        <v>29113</v>
      </c>
      <c r="F88" s="16" t="s">
        <v>143</v>
      </c>
      <c r="G88" s="16" t="s">
        <v>17</v>
      </c>
      <c r="H88" s="18">
        <v>15000</v>
      </c>
      <c r="I88" s="19">
        <v>0</v>
      </c>
      <c r="J88" s="16">
        <v>40</v>
      </c>
      <c r="K88" s="16" t="str">
        <f t="shared" si="5"/>
        <v>Alto</v>
      </c>
      <c r="L88" s="16" t="s">
        <v>14</v>
      </c>
      <c r="M88" s="19">
        <v>90500</v>
      </c>
      <c r="N88" s="16" t="str">
        <f t="shared" si="8"/>
        <v>Aprovado</v>
      </c>
      <c r="O88" s="16" t="str">
        <f t="shared" si="6"/>
        <v>Aprovado</v>
      </c>
      <c r="P88" s="29">
        <f t="shared" si="7"/>
        <v>0</v>
      </c>
    </row>
    <row r="89" spans="1:16" x14ac:dyDescent="0.3">
      <c r="A89" s="20" t="s">
        <v>171</v>
      </c>
      <c r="B89" s="16" t="s">
        <v>46</v>
      </c>
      <c r="C89" s="44">
        <v>4600</v>
      </c>
      <c r="D89" s="20">
        <v>32</v>
      </c>
      <c r="E89" s="17">
        <v>34508</v>
      </c>
      <c r="F89" s="16" t="s">
        <v>21</v>
      </c>
      <c r="G89" s="16" t="s">
        <v>21</v>
      </c>
      <c r="H89" s="18">
        <v>9800</v>
      </c>
      <c r="I89" s="19">
        <v>0</v>
      </c>
      <c r="J89" s="16">
        <v>23</v>
      </c>
      <c r="K89" s="16" t="str">
        <f t="shared" si="5"/>
        <v>Médio</v>
      </c>
      <c r="L89" s="16" t="s">
        <v>14</v>
      </c>
      <c r="M89" s="19">
        <v>68000</v>
      </c>
      <c r="N89" s="16" t="str">
        <f t="shared" si="8"/>
        <v>Aprovado</v>
      </c>
      <c r="O89" s="16" t="str">
        <f t="shared" si="6"/>
        <v>Aprovado</v>
      </c>
      <c r="P89" s="29">
        <f t="shared" si="7"/>
        <v>5440</v>
      </c>
    </row>
    <row r="90" spans="1:16" x14ac:dyDescent="0.3">
      <c r="A90" s="20" t="s">
        <v>171</v>
      </c>
      <c r="B90" s="16" t="s">
        <v>245</v>
      </c>
      <c r="C90" s="44">
        <v>25500</v>
      </c>
      <c r="D90" s="20">
        <v>70</v>
      </c>
      <c r="E90" s="17" t="s">
        <v>53</v>
      </c>
      <c r="F90" s="16" t="s">
        <v>138</v>
      </c>
      <c r="G90" s="16" t="s">
        <v>27</v>
      </c>
      <c r="H90" s="18">
        <v>15800</v>
      </c>
      <c r="I90" s="19">
        <v>17500</v>
      </c>
      <c r="J90" s="16">
        <v>18</v>
      </c>
      <c r="K90" s="16" t="str">
        <f t="shared" si="5"/>
        <v>Médio</v>
      </c>
      <c r="L90" s="16" t="s">
        <v>14</v>
      </c>
      <c r="M90" s="19">
        <v>91000</v>
      </c>
      <c r="N90" s="16" t="str">
        <f t="shared" si="8"/>
        <v>Aprovado</v>
      </c>
      <c r="O90" s="16" t="str">
        <f t="shared" si="6"/>
        <v>Aprovado</v>
      </c>
      <c r="P90" s="29">
        <f t="shared" si="7"/>
        <v>7280</v>
      </c>
    </row>
    <row r="91" spans="1:16" x14ac:dyDescent="0.3">
      <c r="A91" s="20" t="s">
        <v>171</v>
      </c>
      <c r="B91" s="16" t="s">
        <v>246</v>
      </c>
      <c r="C91" s="44">
        <v>25100</v>
      </c>
      <c r="D91" s="20">
        <v>51</v>
      </c>
      <c r="E91" s="17">
        <v>27377</v>
      </c>
      <c r="F91" s="16" t="s">
        <v>136</v>
      </c>
      <c r="G91" s="16" t="s">
        <v>28</v>
      </c>
      <c r="H91" s="18">
        <v>16300</v>
      </c>
      <c r="I91" s="19">
        <v>0</v>
      </c>
      <c r="J91" s="16">
        <v>8</v>
      </c>
      <c r="K91" s="16" t="str">
        <f t="shared" si="5"/>
        <v>Baixo</v>
      </c>
      <c r="L91" s="16" t="s">
        <v>14</v>
      </c>
      <c r="M91" s="19">
        <v>33000</v>
      </c>
      <c r="N91" s="16" t="str">
        <f t="shared" si="8"/>
        <v>Aprovado</v>
      </c>
      <c r="O91" s="16" t="str">
        <f t="shared" si="6"/>
        <v>Aprovado</v>
      </c>
      <c r="P91" s="29">
        <f t="shared" si="7"/>
        <v>2640</v>
      </c>
    </row>
    <row r="92" spans="1:16" x14ac:dyDescent="0.3">
      <c r="A92" s="20" t="s">
        <v>171</v>
      </c>
      <c r="B92" s="16" t="s">
        <v>247</v>
      </c>
      <c r="C92" s="44">
        <v>18300</v>
      </c>
      <c r="D92" s="20">
        <v>72</v>
      </c>
      <c r="E92" s="17">
        <v>19801</v>
      </c>
      <c r="F92" s="16" t="s">
        <v>144</v>
      </c>
      <c r="G92" s="16" t="s">
        <v>18</v>
      </c>
      <c r="H92" s="19">
        <v>10200</v>
      </c>
      <c r="I92" s="19">
        <v>0</v>
      </c>
      <c r="J92" s="16">
        <v>27</v>
      </c>
      <c r="K92" s="16" t="str">
        <f t="shared" si="5"/>
        <v>Alto</v>
      </c>
      <c r="L92" s="16" t="s">
        <v>14</v>
      </c>
      <c r="M92" s="19">
        <v>99500</v>
      </c>
      <c r="N92" s="16" t="str">
        <f t="shared" si="8"/>
        <v>Aprovado</v>
      </c>
      <c r="O92" s="16" t="str">
        <f t="shared" si="6"/>
        <v>Aprovado</v>
      </c>
      <c r="P92" s="29">
        <f t="shared" si="7"/>
        <v>7960</v>
      </c>
    </row>
    <row r="93" spans="1:16" x14ac:dyDescent="0.3">
      <c r="A93" s="20" t="s">
        <v>171</v>
      </c>
      <c r="B93" s="16" t="s">
        <v>248</v>
      </c>
      <c r="C93" s="44">
        <v>34100</v>
      </c>
      <c r="D93" s="20">
        <v>54</v>
      </c>
      <c r="E93" s="17">
        <v>26213</v>
      </c>
      <c r="F93" s="16" t="s">
        <v>142</v>
      </c>
      <c r="G93" s="16" t="s">
        <v>23</v>
      </c>
      <c r="H93" s="18">
        <v>29700</v>
      </c>
      <c r="I93" s="19">
        <v>34000</v>
      </c>
      <c r="J93" s="16">
        <v>35</v>
      </c>
      <c r="K93" s="16" t="str">
        <f t="shared" si="5"/>
        <v>Alto</v>
      </c>
      <c r="L93" s="16" t="s">
        <v>14</v>
      </c>
      <c r="M93" s="19">
        <v>35000</v>
      </c>
      <c r="N93" s="16" t="str">
        <f t="shared" si="8"/>
        <v>Aprovado</v>
      </c>
      <c r="O93" s="16" t="str">
        <f t="shared" si="6"/>
        <v>Aprovado</v>
      </c>
      <c r="P93" s="29">
        <f t="shared" si="7"/>
        <v>2800</v>
      </c>
    </row>
    <row r="94" spans="1:16" x14ac:dyDescent="0.3">
      <c r="A94" s="20" t="s">
        <v>171</v>
      </c>
      <c r="B94" s="16" t="s">
        <v>249</v>
      </c>
      <c r="C94" s="44">
        <v>14200</v>
      </c>
      <c r="D94" s="20">
        <v>48</v>
      </c>
      <c r="E94" s="17">
        <v>28681</v>
      </c>
      <c r="F94" s="16" t="s">
        <v>152</v>
      </c>
      <c r="G94" s="16" t="s">
        <v>166</v>
      </c>
      <c r="H94" s="18">
        <v>15800</v>
      </c>
      <c r="I94" s="19">
        <v>0</v>
      </c>
      <c r="J94" s="16">
        <v>12</v>
      </c>
      <c r="K94" s="16" t="str">
        <f t="shared" si="5"/>
        <v>Médio</v>
      </c>
      <c r="L94" s="16" t="s">
        <v>14</v>
      </c>
      <c r="M94" s="19">
        <v>69500</v>
      </c>
      <c r="N94" s="16" t="str">
        <f t="shared" si="8"/>
        <v>Aprovado</v>
      </c>
      <c r="O94" s="16" t="str">
        <f t="shared" si="6"/>
        <v>Aprovado</v>
      </c>
      <c r="P94" s="29">
        <f t="shared" si="7"/>
        <v>5560</v>
      </c>
    </row>
    <row r="95" spans="1:16" x14ac:dyDescent="0.3">
      <c r="A95" s="20" t="s">
        <v>171</v>
      </c>
      <c r="B95" s="16" t="s">
        <v>250</v>
      </c>
      <c r="C95" s="44">
        <v>9200</v>
      </c>
      <c r="D95" s="20">
        <v>37</v>
      </c>
      <c r="E95" s="17">
        <v>32543</v>
      </c>
      <c r="F95" s="16" t="s">
        <v>142</v>
      </c>
      <c r="G95" s="16" t="s">
        <v>23</v>
      </c>
      <c r="H95" s="18">
        <v>29200</v>
      </c>
      <c r="I95" s="19">
        <v>45000</v>
      </c>
      <c r="J95" s="16">
        <v>26</v>
      </c>
      <c r="K95" s="16" t="str">
        <f t="shared" si="5"/>
        <v>Alto</v>
      </c>
      <c r="L95" s="16" t="s">
        <v>14</v>
      </c>
      <c r="M95" s="19">
        <v>23500</v>
      </c>
      <c r="N95" s="16" t="str">
        <f t="shared" si="8"/>
        <v>Aprovado</v>
      </c>
      <c r="O95" s="16" t="str">
        <f t="shared" si="6"/>
        <v>Aprovado</v>
      </c>
      <c r="P95" s="29">
        <f t="shared" si="7"/>
        <v>1880</v>
      </c>
    </row>
    <row r="96" spans="1:16" x14ac:dyDescent="0.3">
      <c r="A96" s="20" t="s">
        <v>171</v>
      </c>
      <c r="B96" s="16" t="s">
        <v>250</v>
      </c>
      <c r="C96" s="44">
        <v>9200</v>
      </c>
      <c r="D96" s="20">
        <v>37</v>
      </c>
      <c r="E96" s="17">
        <v>32543</v>
      </c>
      <c r="F96" s="16" t="s">
        <v>142</v>
      </c>
      <c r="G96" s="16" t="s">
        <v>23</v>
      </c>
      <c r="H96" s="18">
        <v>29200</v>
      </c>
      <c r="I96" s="19">
        <v>45000</v>
      </c>
      <c r="J96" s="16">
        <v>26</v>
      </c>
      <c r="K96" s="16" t="str">
        <f t="shared" si="5"/>
        <v>Alto</v>
      </c>
      <c r="L96" s="16" t="s">
        <v>14</v>
      </c>
      <c r="M96" s="19">
        <v>78000</v>
      </c>
      <c r="N96" s="16" t="str">
        <f t="shared" si="8"/>
        <v>Aprovado</v>
      </c>
      <c r="O96" s="16" t="str">
        <f t="shared" si="6"/>
        <v>Aprovado</v>
      </c>
      <c r="P96" s="29">
        <f t="shared" si="7"/>
        <v>6240</v>
      </c>
    </row>
    <row r="97" spans="1:16" x14ac:dyDescent="0.3">
      <c r="A97" s="20" t="s">
        <v>171</v>
      </c>
      <c r="B97" s="16" t="s">
        <v>251</v>
      </c>
      <c r="C97" s="44">
        <v>5500</v>
      </c>
      <c r="D97" s="20">
        <f ca="1">DATEDIF(E97,TODAY(),"Y")</f>
        <v>27</v>
      </c>
      <c r="E97" s="17">
        <v>36337</v>
      </c>
      <c r="F97" s="16" t="s">
        <v>153</v>
      </c>
      <c r="G97" s="16" t="s">
        <v>17</v>
      </c>
      <c r="H97" s="18">
        <v>22500</v>
      </c>
      <c r="I97" s="19">
        <v>55500</v>
      </c>
      <c r="J97" s="16">
        <v>32</v>
      </c>
      <c r="K97" s="16" t="str">
        <f t="shared" si="5"/>
        <v>Alto</v>
      </c>
      <c r="L97" s="16" t="s">
        <v>14</v>
      </c>
      <c r="M97" s="19">
        <v>91500</v>
      </c>
      <c r="N97" s="16" t="str">
        <f t="shared" si="8"/>
        <v>Aprovado</v>
      </c>
      <c r="O97" s="16" t="str">
        <f t="shared" si="6"/>
        <v>Aprovado</v>
      </c>
      <c r="P97" s="29">
        <f t="shared" si="7"/>
        <v>7320</v>
      </c>
    </row>
    <row r="98" spans="1:16" x14ac:dyDescent="0.3">
      <c r="A98" s="20" t="s">
        <v>171</v>
      </c>
      <c r="B98" s="16" t="s">
        <v>252</v>
      </c>
      <c r="C98" s="44">
        <v>3300</v>
      </c>
      <c r="D98" s="20">
        <v>31</v>
      </c>
      <c r="E98" s="17" t="s">
        <v>54</v>
      </c>
      <c r="F98" s="16" t="s">
        <v>136</v>
      </c>
      <c r="G98" s="16" t="s">
        <v>28</v>
      </c>
      <c r="H98" s="19">
        <v>20800</v>
      </c>
      <c r="I98" s="19">
        <v>17500</v>
      </c>
      <c r="J98" s="16">
        <v>35</v>
      </c>
      <c r="K98" s="16" t="str">
        <f t="shared" si="5"/>
        <v>Alto</v>
      </c>
      <c r="L98" s="16" t="s">
        <v>14</v>
      </c>
      <c r="M98" s="19">
        <v>58000</v>
      </c>
      <c r="N98" s="16" t="str">
        <f t="shared" si="8"/>
        <v>Aprovado</v>
      </c>
      <c r="O98" s="16" t="str">
        <f t="shared" si="6"/>
        <v>Aprovado</v>
      </c>
      <c r="P98" s="29">
        <f t="shared" si="7"/>
        <v>4640</v>
      </c>
    </row>
    <row r="99" spans="1:16" x14ac:dyDescent="0.3">
      <c r="A99" s="20" t="s">
        <v>171</v>
      </c>
      <c r="B99" s="16" t="s">
        <v>253</v>
      </c>
      <c r="C99" s="44">
        <v>16100</v>
      </c>
      <c r="D99" s="20">
        <v>57</v>
      </c>
      <c r="E99" s="17" t="s">
        <v>130</v>
      </c>
      <c r="F99" s="16" t="s">
        <v>141</v>
      </c>
      <c r="G99" s="16" t="s">
        <v>33</v>
      </c>
      <c r="H99" s="18">
        <v>0</v>
      </c>
      <c r="I99" s="19">
        <v>0</v>
      </c>
      <c r="J99" s="16">
        <v>28</v>
      </c>
      <c r="K99" s="16" t="str">
        <f t="shared" si="5"/>
        <v>Alto</v>
      </c>
      <c r="L99" s="16" t="s">
        <v>13</v>
      </c>
      <c r="M99" s="19">
        <v>13000</v>
      </c>
      <c r="N99" s="16" t="str">
        <f t="shared" si="8"/>
        <v>Negado</v>
      </c>
      <c r="O99" s="16" t="str">
        <f t="shared" si="6"/>
        <v>Aprovado</v>
      </c>
      <c r="P99" s="29">
        <f t="shared" si="7"/>
        <v>1040</v>
      </c>
    </row>
    <row r="100" spans="1:16" x14ac:dyDescent="0.3">
      <c r="A100" s="20" t="s">
        <v>172</v>
      </c>
      <c r="B100" s="16" t="s">
        <v>253</v>
      </c>
      <c r="C100" s="44">
        <v>7900</v>
      </c>
      <c r="D100" s="20">
        <v>65</v>
      </c>
      <c r="E100" s="17">
        <v>22275</v>
      </c>
      <c r="F100" s="16" t="s">
        <v>137</v>
      </c>
      <c r="G100" s="16" t="s">
        <v>36</v>
      </c>
      <c r="H100" s="18">
        <v>3300</v>
      </c>
      <c r="I100" s="19">
        <v>43500</v>
      </c>
      <c r="J100" s="16">
        <v>27</v>
      </c>
      <c r="K100" s="16" t="str">
        <f t="shared" si="5"/>
        <v>Alto</v>
      </c>
      <c r="L100" s="16" t="s">
        <v>14</v>
      </c>
      <c r="M100" s="19">
        <v>23500</v>
      </c>
      <c r="N100" s="16" t="str">
        <f t="shared" si="8"/>
        <v>Aprovado</v>
      </c>
      <c r="O100" s="16" t="str">
        <f t="shared" si="6"/>
        <v>Aprovado</v>
      </c>
      <c r="P100" s="29">
        <f t="shared" si="7"/>
        <v>0</v>
      </c>
    </row>
    <row r="101" spans="1:16" x14ac:dyDescent="0.3">
      <c r="A101" s="20" t="s">
        <v>172</v>
      </c>
      <c r="B101" s="16" t="s">
        <v>254</v>
      </c>
      <c r="C101" s="44">
        <v>35300</v>
      </c>
      <c r="D101" s="20">
        <v>74</v>
      </c>
      <c r="E101" s="17">
        <v>19047</v>
      </c>
      <c r="F101" s="16" t="s">
        <v>141</v>
      </c>
      <c r="G101" s="16" t="s">
        <v>33</v>
      </c>
      <c r="H101" s="18">
        <v>24000</v>
      </c>
      <c r="I101" s="19">
        <v>35000</v>
      </c>
      <c r="J101" s="16">
        <v>6</v>
      </c>
      <c r="K101" s="16" t="str">
        <f t="shared" si="5"/>
        <v>Baixo</v>
      </c>
      <c r="L101" s="16" t="s">
        <v>14</v>
      </c>
      <c r="M101" s="19">
        <v>29500</v>
      </c>
      <c r="N101" s="16" t="str">
        <f t="shared" si="8"/>
        <v>Aprovado</v>
      </c>
      <c r="O101" s="16" t="str">
        <f t="shared" si="6"/>
        <v>Aprovado</v>
      </c>
      <c r="P101" s="29">
        <f t="shared" si="7"/>
        <v>0</v>
      </c>
    </row>
    <row r="102" spans="1:16" x14ac:dyDescent="0.3">
      <c r="A102" s="20" t="s">
        <v>172</v>
      </c>
      <c r="B102" s="16" t="s">
        <v>255</v>
      </c>
      <c r="C102" s="44">
        <v>31800</v>
      </c>
      <c r="D102" s="20">
        <v>43</v>
      </c>
      <c r="E102" s="17">
        <v>30391</v>
      </c>
      <c r="F102" s="16" t="s">
        <v>135</v>
      </c>
      <c r="G102" s="16" t="s">
        <v>17</v>
      </c>
      <c r="H102" s="18">
        <v>7100</v>
      </c>
      <c r="I102" s="19">
        <v>5500</v>
      </c>
      <c r="J102" s="16">
        <v>23</v>
      </c>
      <c r="K102" s="16" t="str">
        <f t="shared" si="5"/>
        <v>Médio</v>
      </c>
      <c r="L102" s="16" t="s">
        <v>14</v>
      </c>
      <c r="M102" s="19">
        <v>67000</v>
      </c>
      <c r="N102" s="16" t="str">
        <f t="shared" si="8"/>
        <v>Aprovado</v>
      </c>
      <c r="O102" s="16" t="str">
        <f t="shared" si="6"/>
        <v>Aprovado</v>
      </c>
      <c r="P102" s="29">
        <f t="shared" si="7"/>
        <v>0</v>
      </c>
    </row>
    <row r="103" spans="1:16" x14ac:dyDescent="0.3">
      <c r="A103" s="20" t="s">
        <v>172</v>
      </c>
      <c r="B103" s="16" t="s">
        <v>256</v>
      </c>
      <c r="C103" s="44">
        <v>0</v>
      </c>
      <c r="D103" s="20">
        <v>31</v>
      </c>
      <c r="E103" s="17">
        <v>34746</v>
      </c>
      <c r="F103" s="16" t="s">
        <v>138</v>
      </c>
      <c r="G103" s="16" t="s">
        <v>27</v>
      </c>
      <c r="H103" s="18">
        <v>18200</v>
      </c>
      <c r="I103" s="19">
        <v>78500</v>
      </c>
      <c r="J103" s="16">
        <v>9</v>
      </c>
      <c r="K103" s="16" t="str">
        <f t="shared" si="5"/>
        <v>Baixo</v>
      </c>
      <c r="L103" s="16" t="s">
        <v>14</v>
      </c>
      <c r="M103" s="19">
        <v>73000</v>
      </c>
      <c r="N103" s="16" t="str">
        <f t="shared" si="8"/>
        <v>Aprovado</v>
      </c>
      <c r="O103" s="16" t="str">
        <f t="shared" si="6"/>
        <v>Aprovado</v>
      </c>
      <c r="P103" s="29">
        <f t="shared" si="7"/>
        <v>0</v>
      </c>
    </row>
    <row r="104" spans="1:16" x14ac:dyDescent="0.3">
      <c r="A104" s="20" t="s">
        <v>172</v>
      </c>
      <c r="B104" s="16" t="s">
        <v>257</v>
      </c>
      <c r="C104" s="44">
        <v>23800</v>
      </c>
      <c r="D104" s="20">
        <v>55</v>
      </c>
      <c r="E104" s="17">
        <v>25848</v>
      </c>
      <c r="F104" s="16" t="s">
        <v>133</v>
      </c>
      <c r="G104" s="16" t="s">
        <v>27</v>
      </c>
      <c r="H104" s="18">
        <v>0</v>
      </c>
      <c r="I104" s="19">
        <v>5000</v>
      </c>
      <c r="J104" s="16">
        <v>8</v>
      </c>
      <c r="K104" s="16" t="str">
        <f t="shared" si="5"/>
        <v>Baixo</v>
      </c>
      <c r="L104" s="16" t="s">
        <v>14</v>
      </c>
      <c r="M104" s="19">
        <v>11000</v>
      </c>
      <c r="N104" s="16" t="str">
        <f t="shared" si="8"/>
        <v>Aprovado</v>
      </c>
      <c r="O104" s="16" t="str">
        <f t="shared" si="6"/>
        <v>Aprovado</v>
      </c>
      <c r="P104" s="29">
        <f t="shared" si="7"/>
        <v>0</v>
      </c>
    </row>
    <row r="105" spans="1:16" x14ac:dyDescent="0.3">
      <c r="A105" s="20" t="s">
        <v>171</v>
      </c>
      <c r="B105" s="16" t="s">
        <v>258</v>
      </c>
      <c r="C105" s="44">
        <v>30900</v>
      </c>
      <c r="D105" s="20">
        <v>47</v>
      </c>
      <c r="E105" s="17">
        <v>28802</v>
      </c>
      <c r="F105" s="16" t="s">
        <v>148</v>
      </c>
      <c r="G105" s="16" t="s">
        <v>25</v>
      </c>
      <c r="H105" s="18">
        <v>22700</v>
      </c>
      <c r="I105" s="19">
        <v>8500</v>
      </c>
      <c r="J105" s="16">
        <v>35</v>
      </c>
      <c r="K105" s="16" t="str">
        <f t="shared" si="5"/>
        <v>Alto</v>
      </c>
      <c r="L105" s="16" t="s">
        <v>62</v>
      </c>
      <c r="M105" s="19">
        <v>23500</v>
      </c>
      <c r="N105" s="16" t="str">
        <f t="shared" si="8"/>
        <v>Aprovado</v>
      </c>
      <c r="O105" s="16" t="str">
        <f t="shared" si="6"/>
        <v>Aprovado</v>
      </c>
      <c r="P105" s="29">
        <f t="shared" si="7"/>
        <v>1880</v>
      </c>
    </row>
    <row r="106" spans="1:16" x14ac:dyDescent="0.3">
      <c r="A106" s="20" t="s">
        <v>171</v>
      </c>
      <c r="B106" s="16" t="s">
        <v>259</v>
      </c>
      <c r="C106" s="44">
        <v>0</v>
      </c>
      <c r="D106" s="20">
        <v>26</v>
      </c>
      <c r="E106" s="17">
        <v>36411</v>
      </c>
      <c r="F106" s="16" t="s">
        <v>157</v>
      </c>
      <c r="G106" s="16" t="s">
        <v>16</v>
      </c>
      <c r="H106" s="18">
        <v>9200</v>
      </c>
      <c r="I106" s="19">
        <v>68500</v>
      </c>
      <c r="J106" s="16">
        <v>27</v>
      </c>
      <c r="K106" s="16" t="str">
        <f t="shared" si="5"/>
        <v>Alto</v>
      </c>
      <c r="L106" s="16" t="s">
        <v>14</v>
      </c>
      <c r="M106" s="19">
        <v>7000</v>
      </c>
      <c r="N106" s="16" t="str">
        <f t="shared" si="8"/>
        <v>Aprovado</v>
      </c>
      <c r="O106" s="16" t="str">
        <f t="shared" si="6"/>
        <v>Aprovado</v>
      </c>
      <c r="P106" s="29">
        <f t="shared" si="7"/>
        <v>560</v>
      </c>
    </row>
    <row r="107" spans="1:16" x14ac:dyDescent="0.3">
      <c r="A107" s="20" t="s">
        <v>171</v>
      </c>
      <c r="B107" s="16" t="s">
        <v>260</v>
      </c>
      <c r="C107" s="44">
        <v>18100</v>
      </c>
      <c r="D107" s="20">
        <v>73</v>
      </c>
      <c r="E107" s="17">
        <v>19314</v>
      </c>
      <c r="F107" s="16" t="s">
        <v>139</v>
      </c>
      <c r="G107" s="16" t="s">
        <v>18</v>
      </c>
      <c r="H107" s="18">
        <v>6100</v>
      </c>
      <c r="I107" s="19">
        <v>16000</v>
      </c>
      <c r="J107" s="16">
        <v>9</v>
      </c>
      <c r="K107" s="16" t="str">
        <f t="shared" si="5"/>
        <v>Baixo</v>
      </c>
      <c r="L107" s="16" t="s">
        <v>14</v>
      </c>
      <c r="M107" s="19">
        <v>24500</v>
      </c>
      <c r="N107" s="16" t="str">
        <f t="shared" si="8"/>
        <v>Aprovado</v>
      </c>
      <c r="O107" s="16" t="str">
        <f t="shared" si="6"/>
        <v>Aprovado</v>
      </c>
      <c r="P107" s="29">
        <f t="shared" si="7"/>
        <v>1960</v>
      </c>
    </row>
    <row r="108" spans="1:16" x14ac:dyDescent="0.3">
      <c r="A108" s="20" t="s">
        <v>172</v>
      </c>
      <c r="B108" s="16" t="s">
        <v>261</v>
      </c>
      <c r="C108" s="44">
        <v>1500</v>
      </c>
      <c r="D108" s="20">
        <v>55</v>
      </c>
      <c r="E108" s="17">
        <v>26142</v>
      </c>
      <c r="F108" s="16" t="s">
        <v>137</v>
      </c>
      <c r="G108" s="16" t="s">
        <v>36</v>
      </c>
      <c r="H108" s="18">
        <v>29700</v>
      </c>
      <c r="I108" s="19">
        <v>78000</v>
      </c>
      <c r="J108" s="16">
        <v>14</v>
      </c>
      <c r="K108" s="16" t="str">
        <f t="shared" si="5"/>
        <v>Médio</v>
      </c>
      <c r="L108" s="16" t="s">
        <v>13</v>
      </c>
      <c r="M108" s="19">
        <v>27000</v>
      </c>
      <c r="N108" s="16" t="str">
        <f t="shared" si="8"/>
        <v>Aprovado</v>
      </c>
      <c r="O108" s="16" t="str">
        <f t="shared" si="6"/>
        <v>Negado</v>
      </c>
      <c r="P108" s="29">
        <f t="shared" si="7"/>
        <v>0</v>
      </c>
    </row>
    <row r="109" spans="1:16" x14ac:dyDescent="0.3">
      <c r="A109" s="20" t="s">
        <v>172</v>
      </c>
      <c r="B109" s="16" t="s">
        <v>35</v>
      </c>
      <c r="C109" s="44">
        <v>9400</v>
      </c>
      <c r="D109" s="20">
        <v>52</v>
      </c>
      <c r="E109" s="17">
        <v>27186</v>
      </c>
      <c r="F109" s="16" t="s">
        <v>150</v>
      </c>
      <c r="G109" s="16" t="s">
        <v>15</v>
      </c>
      <c r="H109" s="18">
        <v>6400</v>
      </c>
      <c r="I109" s="19">
        <v>37000</v>
      </c>
      <c r="J109" s="16">
        <v>1</v>
      </c>
      <c r="K109" s="16" t="str">
        <f t="shared" si="5"/>
        <v>Baixo</v>
      </c>
      <c r="L109" s="16" t="s">
        <v>14</v>
      </c>
      <c r="M109" s="19">
        <v>87000</v>
      </c>
      <c r="N109" s="16" t="str">
        <f t="shared" si="8"/>
        <v>Aprovado</v>
      </c>
      <c r="O109" s="16" t="str">
        <f t="shared" si="6"/>
        <v>Aprovado</v>
      </c>
      <c r="P109" s="29">
        <f t="shared" si="7"/>
        <v>0</v>
      </c>
    </row>
    <row r="110" spans="1:16" x14ac:dyDescent="0.3">
      <c r="A110" s="20" t="s">
        <v>172</v>
      </c>
      <c r="B110" s="16" t="s">
        <v>262</v>
      </c>
      <c r="C110" s="44">
        <v>31100</v>
      </c>
      <c r="D110" s="20">
        <v>70</v>
      </c>
      <c r="E110" s="17">
        <v>20502</v>
      </c>
      <c r="F110" s="16" t="s">
        <v>141</v>
      </c>
      <c r="G110" s="16" t="s">
        <v>33</v>
      </c>
      <c r="H110" s="18">
        <v>2500</v>
      </c>
      <c r="I110" s="19">
        <v>0</v>
      </c>
      <c r="J110" s="16">
        <v>38</v>
      </c>
      <c r="K110" s="16" t="str">
        <f t="shared" si="5"/>
        <v>Alto</v>
      </c>
      <c r="L110" s="16" t="s">
        <v>14</v>
      </c>
      <c r="M110" s="19">
        <v>44500</v>
      </c>
      <c r="N110" s="16" t="str">
        <f t="shared" si="8"/>
        <v>Aprovado</v>
      </c>
      <c r="O110" s="16" t="str">
        <f t="shared" si="6"/>
        <v>Aprovado</v>
      </c>
      <c r="P110" s="29">
        <f t="shared" si="7"/>
        <v>0</v>
      </c>
    </row>
    <row r="111" spans="1:16" x14ac:dyDescent="0.3">
      <c r="A111" s="20" t="s">
        <v>171</v>
      </c>
      <c r="B111" s="16" t="s">
        <v>263</v>
      </c>
      <c r="C111" s="44">
        <v>33600</v>
      </c>
      <c r="D111" s="20">
        <v>32</v>
      </c>
      <c r="E111" s="17">
        <v>34347</v>
      </c>
      <c r="F111" s="16" t="s">
        <v>137</v>
      </c>
      <c r="G111" s="16" t="s">
        <v>36</v>
      </c>
      <c r="H111" s="18">
        <v>15600</v>
      </c>
      <c r="I111" s="19">
        <v>0</v>
      </c>
      <c r="J111" s="16">
        <v>34</v>
      </c>
      <c r="K111" s="16" t="str">
        <f t="shared" si="5"/>
        <v>Alto</v>
      </c>
      <c r="L111" s="16" t="s">
        <v>13</v>
      </c>
      <c r="M111" s="19">
        <v>16000</v>
      </c>
      <c r="N111" s="16" t="str">
        <f t="shared" si="8"/>
        <v>Negado</v>
      </c>
      <c r="O111" s="16" t="str">
        <f t="shared" si="6"/>
        <v>Aprovado</v>
      </c>
      <c r="P111" s="29">
        <f t="shared" si="7"/>
        <v>1280</v>
      </c>
    </row>
    <row r="112" spans="1:16" x14ac:dyDescent="0.3">
      <c r="A112" s="20" t="s">
        <v>172</v>
      </c>
      <c r="B112" s="16" t="s">
        <v>264</v>
      </c>
      <c r="C112" s="44">
        <v>13800</v>
      </c>
      <c r="D112" s="20">
        <v>59</v>
      </c>
      <c r="E112" s="17">
        <v>24512</v>
      </c>
      <c r="F112" s="16" t="s">
        <v>154</v>
      </c>
      <c r="G112" s="16" t="s">
        <v>23</v>
      </c>
      <c r="H112" s="18">
        <v>6300</v>
      </c>
      <c r="I112" s="19">
        <v>15000</v>
      </c>
      <c r="J112" s="16">
        <v>42</v>
      </c>
      <c r="K112" s="16" t="str">
        <f t="shared" si="5"/>
        <v>Alto</v>
      </c>
      <c r="L112" s="16" t="s">
        <v>14</v>
      </c>
      <c r="M112" s="19">
        <v>8500</v>
      </c>
      <c r="N112" s="16" t="str">
        <f t="shared" si="8"/>
        <v>Aprovado</v>
      </c>
      <c r="O112" s="16" t="str">
        <f t="shared" si="6"/>
        <v>Aprovado</v>
      </c>
      <c r="P112" s="29">
        <f t="shared" si="7"/>
        <v>0</v>
      </c>
    </row>
    <row r="113" spans="1:16" x14ac:dyDescent="0.3">
      <c r="A113" s="20" t="s">
        <v>171</v>
      </c>
      <c r="B113" s="16" t="s">
        <v>265</v>
      </c>
      <c r="C113" s="44">
        <v>1900</v>
      </c>
      <c r="D113" s="20">
        <v>51</v>
      </c>
      <c r="E113" s="17">
        <v>27378</v>
      </c>
      <c r="F113" s="16" t="s">
        <v>21</v>
      </c>
      <c r="G113" s="16" t="s">
        <v>21</v>
      </c>
      <c r="H113" s="18">
        <v>11600</v>
      </c>
      <c r="I113" s="19">
        <v>41000</v>
      </c>
      <c r="J113" s="16">
        <v>7</v>
      </c>
      <c r="K113" s="16" t="str">
        <f t="shared" si="5"/>
        <v>Baixo</v>
      </c>
      <c r="L113" s="16" t="s">
        <v>14</v>
      </c>
      <c r="M113" s="19">
        <v>67000</v>
      </c>
      <c r="N113" s="16" t="str">
        <f t="shared" si="8"/>
        <v>Aprovado</v>
      </c>
      <c r="O113" s="16" t="str">
        <f t="shared" si="6"/>
        <v>Aprovado</v>
      </c>
      <c r="P113" s="29">
        <f t="shared" si="7"/>
        <v>5360</v>
      </c>
    </row>
    <row r="114" spans="1:16" x14ac:dyDescent="0.3">
      <c r="A114" s="20" t="s">
        <v>172</v>
      </c>
      <c r="B114" s="16" t="s">
        <v>266</v>
      </c>
      <c r="C114" s="44">
        <v>19400</v>
      </c>
      <c r="D114" s="20">
        <v>38</v>
      </c>
      <c r="E114" s="17">
        <v>32102</v>
      </c>
      <c r="F114" s="16" t="s">
        <v>136</v>
      </c>
      <c r="G114" s="16" t="s">
        <v>28</v>
      </c>
      <c r="H114" s="18">
        <v>13500</v>
      </c>
      <c r="I114" s="19">
        <v>24000</v>
      </c>
      <c r="J114" s="16">
        <v>2</v>
      </c>
      <c r="K114" s="16" t="str">
        <f t="shared" si="5"/>
        <v>Baixo</v>
      </c>
      <c r="L114" s="16" t="s">
        <v>14</v>
      </c>
      <c r="M114" s="19">
        <v>17500</v>
      </c>
      <c r="N114" s="16" t="str">
        <f t="shared" si="8"/>
        <v>Aprovado</v>
      </c>
      <c r="O114" s="16" t="str">
        <f t="shared" si="6"/>
        <v>Aprovado</v>
      </c>
      <c r="P114" s="29">
        <f t="shared" si="7"/>
        <v>0</v>
      </c>
    </row>
    <row r="115" spans="1:16" x14ac:dyDescent="0.3">
      <c r="A115" s="20" t="s">
        <v>171</v>
      </c>
      <c r="B115" s="16" t="s">
        <v>267</v>
      </c>
      <c r="C115" s="44">
        <v>14800</v>
      </c>
      <c r="D115" s="20">
        <v>48</v>
      </c>
      <c r="E115" s="17">
        <v>28673</v>
      </c>
      <c r="F115" s="16" t="s">
        <v>148</v>
      </c>
      <c r="G115" s="16" t="s">
        <v>25</v>
      </c>
      <c r="H115" s="18">
        <v>2300</v>
      </c>
      <c r="I115" s="19">
        <v>26500</v>
      </c>
      <c r="J115" s="16">
        <v>44</v>
      </c>
      <c r="K115" s="16" t="str">
        <f t="shared" si="5"/>
        <v>Alto</v>
      </c>
      <c r="L115" s="16" t="s">
        <v>14</v>
      </c>
      <c r="M115" s="19">
        <v>81000</v>
      </c>
      <c r="N115" s="16" t="str">
        <f t="shared" si="8"/>
        <v>Aprovado</v>
      </c>
      <c r="O115" s="16" t="str">
        <f t="shared" si="6"/>
        <v>Aprovado</v>
      </c>
      <c r="P115" s="29">
        <f t="shared" si="7"/>
        <v>6480</v>
      </c>
    </row>
    <row r="116" spans="1:16" x14ac:dyDescent="0.3">
      <c r="A116" s="20" t="s">
        <v>171</v>
      </c>
      <c r="B116" s="16" t="s">
        <v>268</v>
      </c>
      <c r="C116" s="44">
        <v>15700</v>
      </c>
      <c r="D116" s="20">
        <v>22</v>
      </c>
      <c r="E116" s="17">
        <v>37904</v>
      </c>
      <c r="F116" s="16" t="s">
        <v>150</v>
      </c>
      <c r="G116" s="16" t="s">
        <v>15</v>
      </c>
      <c r="H116" s="18">
        <v>2300</v>
      </c>
      <c r="I116" s="19">
        <v>0</v>
      </c>
      <c r="J116" s="16">
        <v>29</v>
      </c>
      <c r="K116" s="16" t="str">
        <f t="shared" si="5"/>
        <v>Alto</v>
      </c>
      <c r="L116" s="16" t="s">
        <v>13</v>
      </c>
      <c r="M116" s="19">
        <v>51500</v>
      </c>
      <c r="N116" s="16" t="str">
        <f t="shared" si="8"/>
        <v>Negado</v>
      </c>
      <c r="O116" s="16" t="str">
        <f t="shared" si="6"/>
        <v>Aprovado</v>
      </c>
      <c r="P116" s="29">
        <f t="shared" si="7"/>
        <v>4120</v>
      </c>
    </row>
    <row r="117" spans="1:16" x14ac:dyDescent="0.3">
      <c r="A117" s="20" t="s">
        <v>171</v>
      </c>
      <c r="B117" s="16" t="s">
        <v>269</v>
      </c>
      <c r="C117" s="44">
        <v>9300</v>
      </c>
      <c r="D117" s="20">
        <v>56</v>
      </c>
      <c r="E117" s="17">
        <v>25551</v>
      </c>
      <c r="F117" s="16" t="s">
        <v>21</v>
      </c>
      <c r="G117" s="16" t="s">
        <v>21</v>
      </c>
      <c r="H117" s="18">
        <v>22600</v>
      </c>
      <c r="I117" s="19">
        <v>63000</v>
      </c>
      <c r="J117" s="16">
        <v>33</v>
      </c>
      <c r="K117" s="16" t="str">
        <f t="shared" si="5"/>
        <v>Alto</v>
      </c>
      <c r="L117" s="16" t="s">
        <v>14</v>
      </c>
      <c r="M117" s="19">
        <v>53000</v>
      </c>
      <c r="N117" s="16" t="str">
        <f t="shared" si="8"/>
        <v>Aprovado</v>
      </c>
      <c r="O117" s="16" t="str">
        <f t="shared" si="6"/>
        <v>Aprovado</v>
      </c>
      <c r="P117" s="29">
        <f t="shared" si="7"/>
        <v>4240</v>
      </c>
    </row>
    <row r="118" spans="1:16" x14ac:dyDescent="0.3">
      <c r="A118" s="20" t="s">
        <v>171</v>
      </c>
      <c r="B118" s="16" t="s">
        <v>270</v>
      </c>
      <c r="C118" s="44">
        <v>12500</v>
      </c>
      <c r="D118" s="20">
        <v>23</v>
      </c>
      <c r="E118" s="17">
        <v>37627</v>
      </c>
      <c r="F118" s="16" t="s">
        <v>157</v>
      </c>
      <c r="G118" s="16" t="s">
        <v>16</v>
      </c>
      <c r="H118" s="18">
        <v>0</v>
      </c>
      <c r="I118" s="19">
        <v>69000</v>
      </c>
      <c r="J118" s="16">
        <v>20</v>
      </c>
      <c r="K118" s="16" t="str">
        <f t="shared" si="5"/>
        <v>Médio</v>
      </c>
      <c r="L118" s="16" t="s">
        <v>14</v>
      </c>
      <c r="M118" s="19">
        <v>69000</v>
      </c>
      <c r="N118" s="16" t="str">
        <f t="shared" si="8"/>
        <v>Aprovado</v>
      </c>
      <c r="O118" s="16" t="str">
        <f t="shared" si="6"/>
        <v>Aprovado</v>
      </c>
      <c r="P118" s="29">
        <f t="shared" si="7"/>
        <v>5520</v>
      </c>
    </row>
    <row r="119" spans="1:16" x14ac:dyDescent="0.3">
      <c r="A119" s="20" t="s">
        <v>171</v>
      </c>
      <c r="B119" s="16" t="s">
        <v>271</v>
      </c>
      <c r="C119" s="44">
        <v>11500</v>
      </c>
      <c r="D119" s="20">
        <v>72</v>
      </c>
      <c r="E119" s="17">
        <v>19839</v>
      </c>
      <c r="F119" s="16" t="s">
        <v>137</v>
      </c>
      <c r="G119" s="16" t="s">
        <v>36</v>
      </c>
      <c r="H119" s="18">
        <v>3900</v>
      </c>
      <c r="I119" s="19">
        <v>27000</v>
      </c>
      <c r="J119" s="16">
        <v>33</v>
      </c>
      <c r="K119" s="16" t="str">
        <f t="shared" si="5"/>
        <v>Alto</v>
      </c>
      <c r="L119" s="16" t="s">
        <v>14</v>
      </c>
      <c r="M119" s="19">
        <v>2000</v>
      </c>
      <c r="N119" s="16" t="str">
        <f t="shared" si="8"/>
        <v>Aprovado</v>
      </c>
      <c r="O119" s="16" t="str">
        <f t="shared" si="6"/>
        <v>Aprovado</v>
      </c>
      <c r="P119" s="29">
        <f t="shared" si="7"/>
        <v>160</v>
      </c>
    </row>
    <row r="120" spans="1:16" x14ac:dyDescent="0.3">
      <c r="A120" s="20" t="s">
        <v>171</v>
      </c>
      <c r="B120" s="16" t="s">
        <v>272</v>
      </c>
      <c r="C120" s="44">
        <v>14900</v>
      </c>
      <c r="D120" s="20">
        <v>54</v>
      </c>
      <c r="E120" s="17">
        <v>26230</v>
      </c>
      <c r="F120" s="16" t="s">
        <v>143</v>
      </c>
      <c r="G120" s="16" t="s">
        <v>17</v>
      </c>
      <c r="H120" s="18">
        <v>18700</v>
      </c>
      <c r="I120" s="19">
        <v>46000</v>
      </c>
      <c r="J120" s="16">
        <v>4</v>
      </c>
      <c r="K120" s="16" t="str">
        <f t="shared" si="5"/>
        <v>Baixo</v>
      </c>
      <c r="L120" s="16" t="s">
        <v>13</v>
      </c>
      <c r="M120" s="19">
        <v>27500</v>
      </c>
      <c r="N120" s="16" t="str">
        <f t="shared" si="8"/>
        <v>Aprovado</v>
      </c>
      <c r="O120" s="16" t="str">
        <f t="shared" si="6"/>
        <v>Aprovado</v>
      </c>
      <c r="P120" s="29">
        <f t="shared" si="7"/>
        <v>2200</v>
      </c>
    </row>
    <row r="121" spans="1:16" x14ac:dyDescent="0.3">
      <c r="A121" s="20" t="s">
        <v>172</v>
      </c>
      <c r="B121" s="16" t="s">
        <v>26</v>
      </c>
      <c r="C121" s="44">
        <v>2600</v>
      </c>
      <c r="D121" s="20">
        <v>67</v>
      </c>
      <c r="E121" s="17">
        <v>21512</v>
      </c>
      <c r="F121" s="16" t="s">
        <v>138</v>
      </c>
      <c r="G121" s="16" t="s">
        <v>27</v>
      </c>
      <c r="H121" s="18">
        <v>3200</v>
      </c>
      <c r="I121" s="19">
        <v>6500</v>
      </c>
      <c r="J121" s="16">
        <v>20</v>
      </c>
      <c r="K121" s="16" t="str">
        <f t="shared" si="5"/>
        <v>Médio</v>
      </c>
      <c r="L121" s="16" t="s">
        <v>14</v>
      </c>
      <c r="M121" s="19">
        <v>52500</v>
      </c>
      <c r="N121" s="16" t="str">
        <f t="shared" si="8"/>
        <v>Aprovado</v>
      </c>
      <c r="O121" s="16" t="str">
        <f t="shared" si="6"/>
        <v>Aprovado</v>
      </c>
      <c r="P121" s="29">
        <f t="shared" si="7"/>
        <v>0</v>
      </c>
    </row>
    <row r="122" spans="1:16" x14ac:dyDescent="0.3">
      <c r="A122" s="20" t="s">
        <v>171</v>
      </c>
      <c r="B122" s="16" t="s">
        <v>273</v>
      </c>
      <c r="C122" s="44">
        <v>17600</v>
      </c>
      <c r="D122" s="20">
        <v>73</v>
      </c>
      <c r="E122" s="17" t="s">
        <v>61</v>
      </c>
      <c r="F122" s="16" t="s">
        <v>154</v>
      </c>
      <c r="G122" s="16" t="s">
        <v>23</v>
      </c>
      <c r="H122" s="19">
        <v>16500</v>
      </c>
      <c r="I122" s="19">
        <v>54000</v>
      </c>
      <c r="J122" s="16">
        <v>11</v>
      </c>
      <c r="K122" s="16" t="str">
        <f t="shared" si="5"/>
        <v>Médio</v>
      </c>
      <c r="L122" s="16" t="s">
        <v>14</v>
      </c>
      <c r="M122" s="19">
        <v>33500</v>
      </c>
      <c r="N122" s="16" t="str">
        <f t="shared" si="8"/>
        <v>Aprovado</v>
      </c>
      <c r="O122" s="16" t="str">
        <f t="shared" si="6"/>
        <v>Aprovado</v>
      </c>
      <c r="P122" s="29">
        <f t="shared" si="7"/>
        <v>2680</v>
      </c>
    </row>
    <row r="123" spans="1:16" x14ac:dyDescent="0.3">
      <c r="A123" s="20" t="s">
        <v>171</v>
      </c>
      <c r="B123" s="16" t="s">
        <v>274</v>
      </c>
      <c r="C123" s="44">
        <v>15300</v>
      </c>
      <c r="D123" s="20">
        <v>24</v>
      </c>
      <c r="E123" s="17">
        <v>37394</v>
      </c>
      <c r="F123" s="16" t="s">
        <v>155</v>
      </c>
      <c r="G123" s="16" t="s">
        <v>167</v>
      </c>
      <c r="H123" s="18">
        <v>14200</v>
      </c>
      <c r="I123" s="19">
        <v>71000</v>
      </c>
      <c r="J123" s="16">
        <v>10</v>
      </c>
      <c r="K123" s="16" t="str">
        <f t="shared" si="5"/>
        <v>Baixo</v>
      </c>
      <c r="L123" s="16" t="s">
        <v>14</v>
      </c>
      <c r="M123" s="19">
        <v>91500</v>
      </c>
      <c r="N123" s="16" t="str">
        <f t="shared" si="8"/>
        <v>Aprovado</v>
      </c>
      <c r="O123" s="16" t="str">
        <f t="shared" si="6"/>
        <v>Aprovado</v>
      </c>
      <c r="P123" s="29">
        <f t="shared" si="7"/>
        <v>7320</v>
      </c>
    </row>
    <row r="124" spans="1:16" x14ac:dyDescent="0.3">
      <c r="A124" s="20" t="s">
        <v>171</v>
      </c>
      <c r="B124" s="16" t="s">
        <v>275</v>
      </c>
      <c r="C124" s="44">
        <v>16700</v>
      </c>
      <c r="D124" s="20">
        <v>26</v>
      </c>
      <c r="E124" s="17">
        <v>36475</v>
      </c>
      <c r="F124" s="16" t="s">
        <v>156</v>
      </c>
      <c r="G124" s="16" t="s">
        <v>163</v>
      </c>
      <c r="H124" s="18">
        <v>13900</v>
      </c>
      <c r="I124" s="19">
        <v>53500</v>
      </c>
      <c r="J124" s="16">
        <v>12</v>
      </c>
      <c r="K124" s="16" t="str">
        <f t="shared" si="5"/>
        <v>Médio</v>
      </c>
      <c r="L124" s="16" t="s">
        <v>14</v>
      </c>
      <c r="M124" s="19">
        <v>85000</v>
      </c>
      <c r="N124" s="16" t="str">
        <f t="shared" si="8"/>
        <v>Aprovado</v>
      </c>
      <c r="O124" s="16" t="str">
        <f t="shared" si="6"/>
        <v>Aprovado</v>
      </c>
      <c r="P124" s="29">
        <f t="shared" si="7"/>
        <v>6800</v>
      </c>
    </row>
    <row r="125" spans="1:16" x14ac:dyDescent="0.3">
      <c r="A125" s="20" t="s">
        <v>172</v>
      </c>
      <c r="B125" s="16" t="s">
        <v>276</v>
      </c>
      <c r="C125" s="44">
        <v>25800</v>
      </c>
      <c r="D125" s="20">
        <v>33</v>
      </c>
      <c r="E125" s="17">
        <v>34154</v>
      </c>
      <c r="F125" s="16" t="s">
        <v>135</v>
      </c>
      <c r="G125" s="16" t="s">
        <v>17</v>
      </c>
      <c r="H125" s="18">
        <v>2400</v>
      </c>
      <c r="I125" s="19">
        <v>78000</v>
      </c>
      <c r="J125" s="16">
        <v>6</v>
      </c>
      <c r="K125" s="16" t="str">
        <f t="shared" si="5"/>
        <v>Baixo</v>
      </c>
      <c r="L125" s="16" t="s">
        <v>14</v>
      </c>
      <c r="M125" s="19">
        <v>28000</v>
      </c>
      <c r="N125" s="16" t="str">
        <f t="shared" si="8"/>
        <v>Aprovado</v>
      </c>
      <c r="O125" s="16" t="str">
        <f t="shared" si="6"/>
        <v>Aprovado</v>
      </c>
      <c r="P125" s="29">
        <f t="shared" si="7"/>
        <v>0</v>
      </c>
    </row>
    <row r="126" spans="1:16" x14ac:dyDescent="0.3">
      <c r="A126" s="20" t="s">
        <v>171</v>
      </c>
      <c r="B126" s="16" t="s">
        <v>277</v>
      </c>
      <c r="C126" s="44">
        <v>0</v>
      </c>
      <c r="D126" s="20">
        <v>58</v>
      </c>
      <c r="E126" s="17">
        <v>24840</v>
      </c>
      <c r="F126" s="16" t="s">
        <v>148</v>
      </c>
      <c r="G126" s="16" t="s">
        <v>25</v>
      </c>
      <c r="H126" s="18">
        <v>2800</v>
      </c>
      <c r="I126" s="19">
        <v>35000</v>
      </c>
      <c r="J126" s="16">
        <v>36</v>
      </c>
      <c r="K126" s="16" t="str">
        <f t="shared" si="5"/>
        <v>Alto</v>
      </c>
      <c r="L126" s="16" t="s">
        <v>14</v>
      </c>
      <c r="M126" s="19">
        <v>9000</v>
      </c>
      <c r="N126" s="16" t="str">
        <f t="shared" si="8"/>
        <v>Aprovado</v>
      </c>
      <c r="O126" s="16" t="str">
        <f t="shared" si="6"/>
        <v>Aprovado</v>
      </c>
      <c r="P126" s="29">
        <f t="shared" si="7"/>
        <v>720</v>
      </c>
    </row>
    <row r="127" spans="1:16" x14ac:dyDescent="0.3">
      <c r="A127" s="20" t="s">
        <v>171</v>
      </c>
      <c r="B127" s="16" t="s">
        <v>278</v>
      </c>
      <c r="C127" s="44">
        <v>0</v>
      </c>
      <c r="D127" s="20">
        <v>44</v>
      </c>
      <c r="E127" s="17">
        <v>29843</v>
      </c>
      <c r="F127" s="16" t="s">
        <v>139</v>
      </c>
      <c r="G127" s="16" t="s">
        <v>18</v>
      </c>
      <c r="H127" s="18">
        <v>11300</v>
      </c>
      <c r="I127" s="19">
        <v>55000</v>
      </c>
      <c r="J127" s="16">
        <v>38</v>
      </c>
      <c r="K127" s="16" t="str">
        <f t="shared" si="5"/>
        <v>Alto</v>
      </c>
      <c r="L127" s="16" t="s">
        <v>14</v>
      </c>
      <c r="M127" s="19">
        <v>68500</v>
      </c>
      <c r="N127" s="16" t="str">
        <f t="shared" si="8"/>
        <v>Aprovado</v>
      </c>
      <c r="O127" s="16" t="str">
        <f t="shared" si="6"/>
        <v>Aprovado</v>
      </c>
      <c r="P127" s="29">
        <f t="shared" si="7"/>
        <v>5480</v>
      </c>
    </row>
    <row r="128" spans="1:16" x14ac:dyDescent="0.3">
      <c r="A128" s="20" t="s">
        <v>171</v>
      </c>
      <c r="B128" s="16" t="s">
        <v>279</v>
      </c>
      <c r="C128" s="44">
        <v>22000</v>
      </c>
      <c r="D128" s="20">
        <v>65</v>
      </c>
      <c r="E128" s="17">
        <v>22366</v>
      </c>
      <c r="F128" s="16" t="s">
        <v>132</v>
      </c>
      <c r="G128" s="16" t="s">
        <v>23</v>
      </c>
      <c r="H128" s="18">
        <v>18000</v>
      </c>
      <c r="I128" s="19">
        <v>0</v>
      </c>
      <c r="J128" s="16">
        <v>27</v>
      </c>
      <c r="K128" s="16" t="str">
        <f t="shared" si="5"/>
        <v>Alto</v>
      </c>
      <c r="L128" s="16" t="s">
        <v>14</v>
      </c>
      <c r="M128" s="19">
        <v>38500</v>
      </c>
      <c r="N128" s="16" t="str">
        <f t="shared" si="8"/>
        <v>Aprovado</v>
      </c>
      <c r="O128" s="16" t="str">
        <f t="shared" si="6"/>
        <v>Aprovado</v>
      </c>
      <c r="P128" s="29">
        <f t="shared" si="7"/>
        <v>3080</v>
      </c>
    </row>
    <row r="129" spans="1:16" x14ac:dyDescent="0.3">
      <c r="A129" s="20" t="s">
        <v>172</v>
      </c>
      <c r="B129" s="16" t="s">
        <v>280</v>
      </c>
      <c r="C129" s="44">
        <v>26100</v>
      </c>
      <c r="D129" s="20">
        <f ca="1">DATEDIF(E129,TODAY(),"Y")</f>
        <v>35</v>
      </c>
      <c r="E129" s="17">
        <v>33188</v>
      </c>
      <c r="F129" s="16" t="s">
        <v>138</v>
      </c>
      <c r="G129" s="16" t="s">
        <v>27</v>
      </c>
      <c r="H129" s="18">
        <v>29900</v>
      </c>
      <c r="I129" s="19">
        <v>64500</v>
      </c>
      <c r="J129" s="16">
        <v>34</v>
      </c>
      <c r="K129" s="16" t="str">
        <f t="shared" si="5"/>
        <v>Alto</v>
      </c>
      <c r="L129" s="16" t="s">
        <v>14</v>
      </c>
      <c r="M129" s="19">
        <v>48500</v>
      </c>
      <c r="N129" s="16" t="str">
        <f t="shared" si="8"/>
        <v>Aprovado</v>
      </c>
      <c r="O129" s="16" t="str">
        <f t="shared" si="6"/>
        <v>Aprovado</v>
      </c>
      <c r="P129" s="29">
        <f t="shared" si="7"/>
        <v>0</v>
      </c>
    </row>
    <row r="130" spans="1:16" x14ac:dyDescent="0.3">
      <c r="A130" s="20" t="s">
        <v>171</v>
      </c>
      <c r="B130" s="16" t="s">
        <v>281</v>
      </c>
      <c r="C130" s="44">
        <v>18200</v>
      </c>
      <c r="D130" s="20">
        <v>58</v>
      </c>
      <c r="E130" s="17">
        <v>25066</v>
      </c>
      <c r="F130" s="16" t="s">
        <v>132</v>
      </c>
      <c r="G130" s="16" t="s">
        <v>23</v>
      </c>
      <c r="H130" s="18">
        <v>4500</v>
      </c>
      <c r="I130" s="19">
        <v>0</v>
      </c>
      <c r="J130" s="16">
        <v>31</v>
      </c>
      <c r="K130" s="16" t="str">
        <f t="shared" ref="K130:K193" si="9">IF(J130&gt;25,"Alto", IF(J130&lt;=10,"Baixo","Médio"))</f>
        <v>Alto</v>
      </c>
      <c r="L130" s="16" t="s">
        <v>13</v>
      </c>
      <c r="M130" s="19">
        <v>97500</v>
      </c>
      <c r="N130" s="16" t="str">
        <f t="shared" si="8"/>
        <v>Negado</v>
      </c>
      <c r="O130" s="16" t="str">
        <f t="shared" ref="O130:O193" si="10">IF(AND(I130&gt;50000,L130="Sim"),"Negado","Aprovado")</f>
        <v>Aprovado</v>
      </c>
      <c r="P130" s="29">
        <f t="shared" ref="P130:P193" si="11">IF(AND(N130="Negado",O130="Negado"),0, IF(A130="Ativo",M130*8%,0))</f>
        <v>7800</v>
      </c>
    </row>
    <row r="131" spans="1:16" x14ac:dyDescent="0.3">
      <c r="A131" s="20" t="s">
        <v>172</v>
      </c>
      <c r="B131" s="16" t="s">
        <v>282</v>
      </c>
      <c r="C131" s="44">
        <v>22100</v>
      </c>
      <c r="D131" s="20">
        <v>29</v>
      </c>
      <c r="E131" s="17">
        <v>35598</v>
      </c>
      <c r="F131" s="16" t="s">
        <v>21</v>
      </c>
      <c r="G131" s="16" t="s">
        <v>21</v>
      </c>
      <c r="H131" s="18">
        <v>15500</v>
      </c>
      <c r="I131" s="19">
        <v>75000</v>
      </c>
      <c r="J131" s="16">
        <v>25</v>
      </c>
      <c r="K131" s="16" t="str">
        <f t="shared" si="9"/>
        <v>Médio</v>
      </c>
      <c r="L131" s="16" t="s">
        <v>14</v>
      </c>
      <c r="M131" s="19">
        <v>47000</v>
      </c>
      <c r="N131" s="16" t="str">
        <f t="shared" si="8"/>
        <v>Aprovado</v>
      </c>
      <c r="O131" s="16" t="str">
        <f t="shared" si="10"/>
        <v>Aprovado</v>
      </c>
      <c r="P131" s="29">
        <f t="shared" si="11"/>
        <v>0</v>
      </c>
    </row>
    <row r="132" spans="1:16" x14ac:dyDescent="0.3">
      <c r="A132" s="20" t="s">
        <v>171</v>
      </c>
      <c r="B132" s="16" t="s">
        <v>283</v>
      </c>
      <c r="C132" s="44">
        <v>0</v>
      </c>
      <c r="D132" s="20">
        <v>38</v>
      </c>
      <c r="E132" s="17">
        <v>32066</v>
      </c>
      <c r="F132" s="16" t="s">
        <v>133</v>
      </c>
      <c r="G132" s="16" t="s">
        <v>27</v>
      </c>
      <c r="H132" s="18">
        <v>9700</v>
      </c>
      <c r="I132" s="19">
        <v>25000</v>
      </c>
      <c r="J132" s="16">
        <v>0</v>
      </c>
      <c r="K132" s="16" t="str">
        <f t="shared" si="9"/>
        <v>Baixo</v>
      </c>
      <c r="L132" s="16" t="s">
        <v>14</v>
      </c>
      <c r="M132" s="19">
        <v>55500</v>
      </c>
      <c r="N132" s="16" t="str">
        <f t="shared" si="8"/>
        <v>Aprovado</v>
      </c>
      <c r="O132" s="16" t="str">
        <f t="shared" si="10"/>
        <v>Aprovado</v>
      </c>
      <c r="P132" s="29">
        <f t="shared" si="11"/>
        <v>4440</v>
      </c>
    </row>
    <row r="133" spans="1:16" x14ac:dyDescent="0.3">
      <c r="A133" s="20" t="s">
        <v>172</v>
      </c>
      <c r="B133" s="16" t="s">
        <v>284</v>
      </c>
      <c r="C133" s="44">
        <v>32200</v>
      </c>
      <c r="D133" s="20">
        <v>26</v>
      </c>
      <c r="E133" s="17">
        <v>36540</v>
      </c>
      <c r="F133" s="16" t="s">
        <v>139</v>
      </c>
      <c r="G133" s="16" t="s">
        <v>18</v>
      </c>
      <c r="H133" s="18">
        <v>24000</v>
      </c>
      <c r="I133" s="19">
        <v>52000</v>
      </c>
      <c r="J133" s="16">
        <v>30</v>
      </c>
      <c r="K133" s="16" t="str">
        <f t="shared" si="9"/>
        <v>Alto</v>
      </c>
      <c r="L133" s="16" t="s">
        <v>14</v>
      </c>
      <c r="M133" s="19">
        <v>62500</v>
      </c>
      <c r="N133" s="16" t="str">
        <f t="shared" si="8"/>
        <v>Aprovado</v>
      </c>
      <c r="O133" s="16" t="str">
        <f t="shared" si="10"/>
        <v>Aprovado</v>
      </c>
      <c r="P133" s="29">
        <f t="shared" si="11"/>
        <v>0</v>
      </c>
    </row>
    <row r="134" spans="1:16" x14ac:dyDescent="0.3">
      <c r="A134" s="20" t="s">
        <v>172</v>
      </c>
      <c r="B134" s="16" t="s">
        <v>284</v>
      </c>
      <c r="C134" s="44">
        <v>32200</v>
      </c>
      <c r="D134" s="20">
        <v>26</v>
      </c>
      <c r="E134" s="17">
        <v>36540</v>
      </c>
      <c r="F134" s="16" t="s">
        <v>139</v>
      </c>
      <c r="G134" s="16" t="s">
        <v>18</v>
      </c>
      <c r="H134" s="18">
        <v>24000</v>
      </c>
      <c r="I134" s="19">
        <v>52000</v>
      </c>
      <c r="J134" s="16">
        <v>30</v>
      </c>
      <c r="K134" s="16" t="str">
        <f t="shared" si="9"/>
        <v>Alto</v>
      </c>
      <c r="L134" s="16" t="s">
        <v>14</v>
      </c>
      <c r="M134" s="19">
        <v>11500</v>
      </c>
      <c r="N134" s="16" t="str">
        <f t="shared" si="8"/>
        <v>Aprovado</v>
      </c>
      <c r="O134" s="16" t="str">
        <f t="shared" si="10"/>
        <v>Aprovado</v>
      </c>
      <c r="P134" s="29">
        <f t="shared" si="11"/>
        <v>0</v>
      </c>
    </row>
    <row r="135" spans="1:16" x14ac:dyDescent="0.3">
      <c r="A135" s="20" t="s">
        <v>171</v>
      </c>
      <c r="B135" s="16" t="s">
        <v>285</v>
      </c>
      <c r="C135" s="44">
        <v>6000</v>
      </c>
      <c r="D135" s="20">
        <v>48</v>
      </c>
      <c r="E135" s="17">
        <v>28689</v>
      </c>
      <c r="F135" s="16" t="s">
        <v>150</v>
      </c>
      <c r="G135" s="16" t="s">
        <v>15</v>
      </c>
      <c r="H135" s="18">
        <v>18700</v>
      </c>
      <c r="I135" s="19">
        <v>11000</v>
      </c>
      <c r="J135" s="16">
        <v>28</v>
      </c>
      <c r="K135" s="16" t="str">
        <f t="shared" si="9"/>
        <v>Alto</v>
      </c>
      <c r="L135" s="16" t="s">
        <v>14</v>
      </c>
      <c r="M135" s="19">
        <v>18000</v>
      </c>
      <c r="N135" s="16" t="str">
        <f t="shared" si="8"/>
        <v>Aprovado</v>
      </c>
      <c r="O135" s="16" t="str">
        <f t="shared" si="10"/>
        <v>Aprovado</v>
      </c>
      <c r="P135" s="29">
        <f t="shared" si="11"/>
        <v>1440</v>
      </c>
    </row>
    <row r="136" spans="1:16" x14ac:dyDescent="0.3">
      <c r="A136" s="20" t="s">
        <v>172</v>
      </c>
      <c r="B136" s="16" t="s">
        <v>285</v>
      </c>
      <c r="C136" s="44">
        <v>8400</v>
      </c>
      <c r="D136" s="20">
        <v>38</v>
      </c>
      <c r="E136" s="17" t="s">
        <v>57</v>
      </c>
      <c r="F136" s="16" t="s">
        <v>139</v>
      </c>
      <c r="G136" s="16" t="s">
        <v>18</v>
      </c>
      <c r="H136" s="19">
        <v>23600</v>
      </c>
      <c r="I136" s="19">
        <v>0</v>
      </c>
      <c r="J136" s="16">
        <v>0</v>
      </c>
      <c r="K136" s="16" t="str">
        <f t="shared" si="9"/>
        <v>Baixo</v>
      </c>
      <c r="L136" s="16" t="s">
        <v>14</v>
      </c>
      <c r="M136" s="19">
        <v>28500</v>
      </c>
      <c r="N136" s="16" t="str">
        <f t="shared" si="8"/>
        <v>Aprovado</v>
      </c>
      <c r="O136" s="16" t="str">
        <f t="shared" si="10"/>
        <v>Aprovado</v>
      </c>
      <c r="P136" s="29">
        <f t="shared" si="11"/>
        <v>0</v>
      </c>
    </row>
    <row r="137" spans="1:16" x14ac:dyDescent="0.3">
      <c r="A137" s="20" t="s">
        <v>172</v>
      </c>
      <c r="B137" s="16" t="s">
        <v>286</v>
      </c>
      <c r="C137" s="44">
        <v>0</v>
      </c>
      <c r="D137" s="20">
        <v>35</v>
      </c>
      <c r="E137" s="17">
        <v>33417</v>
      </c>
      <c r="F137" s="16" t="s">
        <v>132</v>
      </c>
      <c r="G137" s="16" t="s">
        <v>23</v>
      </c>
      <c r="H137" s="18">
        <v>12400</v>
      </c>
      <c r="I137" s="19">
        <v>0</v>
      </c>
      <c r="J137" s="16">
        <v>3</v>
      </c>
      <c r="K137" s="16" t="str">
        <f t="shared" si="9"/>
        <v>Baixo</v>
      </c>
      <c r="L137" s="16" t="s">
        <v>14</v>
      </c>
      <c r="M137" s="19">
        <v>83500</v>
      </c>
      <c r="N137" s="16" t="str">
        <f t="shared" si="8"/>
        <v>Aprovado</v>
      </c>
      <c r="O137" s="16" t="str">
        <f t="shared" si="10"/>
        <v>Aprovado</v>
      </c>
      <c r="P137" s="29">
        <f t="shared" si="11"/>
        <v>0</v>
      </c>
    </row>
    <row r="138" spans="1:16" x14ac:dyDescent="0.3">
      <c r="A138" s="20" t="s">
        <v>172</v>
      </c>
      <c r="B138" s="16" t="s">
        <v>286</v>
      </c>
      <c r="C138" s="44">
        <v>16600</v>
      </c>
      <c r="D138" s="20">
        <v>35</v>
      </c>
      <c r="E138" s="17">
        <v>33417</v>
      </c>
      <c r="F138" s="16" t="s">
        <v>132</v>
      </c>
      <c r="G138" s="16" t="s">
        <v>23</v>
      </c>
      <c r="H138" s="18">
        <v>12400</v>
      </c>
      <c r="I138" s="19">
        <v>36000</v>
      </c>
      <c r="J138" s="16">
        <v>3</v>
      </c>
      <c r="K138" s="16" t="str">
        <f t="shared" si="9"/>
        <v>Baixo</v>
      </c>
      <c r="L138" s="16" t="s">
        <v>14</v>
      </c>
      <c r="M138" s="19">
        <v>71500</v>
      </c>
      <c r="N138" s="16" t="str">
        <f t="shared" si="8"/>
        <v>Aprovado</v>
      </c>
      <c r="O138" s="16" t="str">
        <f t="shared" si="10"/>
        <v>Aprovado</v>
      </c>
      <c r="P138" s="29">
        <f t="shared" si="11"/>
        <v>0</v>
      </c>
    </row>
    <row r="139" spans="1:16" x14ac:dyDescent="0.3">
      <c r="A139" s="20" t="s">
        <v>171</v>
      </c>
      <c r="B139" s="16" t="s">
        <v>287</v>
      </c>
      <c r="C139" s="44">
        <v>5600</v>
      </c>
      <c r="D139" s="20">
        <v>35</v>
      </c>
      <c r="E139" s="17">
        <v>33336</v>
      </c>
      <c r="F139" s="16" t="s">
        <v>137</v>
      </c>
      <c r="G139" s="16" t="s">
        <v>36</v>
      </c>
      <c r="H139" s="18">
        <v>20900</v>
      </c>
      <c r="I139" s="19">
        <v>54000</v>
      </c>
      <c r="J139" s="16">
        <v>44</v>
      </c>
      <c r="K139" s="16" t="str">
        <f t="shared" si="9"/>
        <v>Alto</v>
      </c>
      <c r="L139" s="16" t="s">
        <v>14</v>
      </c>
      <c r="M139" s="19">
        <v>18000</v>
      </c>
      <c r="N139" s="16" t="str">
        <f t="shared" si="8"/>
        <v>Aprovado</v>
      </c>
      <c r="O139" s="16" t="str">
        <f t="shared" si="10"/>
        <v>Aprovado</v>
      </c>
      <c r="P139" s="29">
        <f t="shared" si="11"/>
        <v>1440</v>
      </c>
    </row>
    <row r="140" spans="1:16" x14ac:dyDescent="0.3">
      <c r="A140" s="20" t="s">
        <v>172</v>
      </c>
      <c r="B140" s="16" t="s">
        <v>288</v>
      </c>
      <c r="C140" s="44">
        <v>37100</v>
      </c>
      <c r="D140" s="20">
        <v>68</v>
      </c>
      <c r="E140" s="17" t="s">
        <v>51</v>
      </c>
      <c r="F140" s="16" t="s">
        <v>135</v>
      </c>
      <c r="G140" s="16" t="s">
        <v>17</v>
      </c>
      <c r="H140" s="19">
        <v>2800</v>
      </c>
      <c r="I140" s="19">
        <v>76000</v>
      </c>
      <c r="J140" s="16">
        <v>44</v>
      </c>
      <c r="K140" s="16" t="str">
        <f t="shared" si="9"/>
        <v>Alto</v>
      </c>
      <c r="L140" s="16" t="s">
        <v>14</v>
      </c>
      <c r="M140" s="19">
        <v>27000</v>
      </c>
      <c r="N140" s="16" t="str">
        <f t="shared" si="8"/>
        <v>Aprovado</v>
      </c>
      <c r="O140" s="16" t="str">
        <f t="shared" si="10"/>
        <v>Aprovado</v>
      </c>
      <c r="P140" s="29">
        <f t="shared" si="11"/>
        <v>0</v>
      </c>
    </row>
    <row r="141" spans="1:16" x14ac:dyDescent="0.3">
      <c r="A141" s="20" t="s">
        <v>172</v>
      </c>
      <c r="B141" s="16" t="s">
        <v>288</v>
      </c>
      <c r="C141" s="44">
        <v>26300</v>
      </c>
      <c r="D141" s="20">
        <v>33</v>
      </c>
      <c r="E141" s="17">
        <v>33989</v>
      </c>
      <c r="F141" s="16" t="s">
        <v>144</v>
      </c>
      <c r="G141" s="16" t="s">
        <v>18</v>
      </c>
      <c r="H141" s="18">
        <v>23400</v>
      </c>
      <c r="I141" s="19">
        <v>59000</v>
      </c>
      <c r="J141" s="16">
        <v>35</v>
      </c>
      <c r="K141" s="16" t="str">
        <f t="shared" si="9"/>
        <v>Alto</v>
      </c>
      <c r="L141" s="16" t="s">
        <v>13</v>
      </c>
      <c r="M141" s="19">
        <v>39000</v>
      </c>
      <c r="N141" s="16" t="str">
        <f t="shared" si="8"/>
        <v>Negado</v>
      </c>
      <c r="O141" s="16" t="str">
        <f t="shared" si="10"/>
        <v>Negado</v>
      </c>
      <c r="P141" s="29">
        <f t="shared" si="11"/>
        <v>0</v>
      </c>
    </row>
    <row r="142" spans="1:16" x14ac:dyDescent="0.3">
      <c r="A142" s="20" t="s">
        <v>171</v>
      </c>
      <c r="B142" s="16" t="s">
        <v>289</v>
      </c>
      <c r="C142" s="44">
        <v>0</v>
      </c>
      <c r="D142" s="20">
        <v>24</v>
      </c>
      <c r="E142" s="17" t="s">
        <v>130</v>
      </c>
      <c r="F142" s="16" t="s">
        <v>139</v>
      </c>
      <c r="G142" s="16" t="s">
        <v>18</v>
      </c>
      <c r="H142" s="18">
        <v>17000</v>
      </c>
      <c r="I142" s="19">
        <v>41000</v>
      </c>
      <c r="J142" s="16">
        <v>37</v>
      </c>
      <c r="K142" s="16" t="str">
        <f t="shared" si="9"/>
        <v>Alto</v>
      </c>
      <c r="L142" s="16" t="s">
        <v>14</v>
      </c>
      <c r="M142" s="19">
        <v>33000</v>
      </c>
      <c r="N142" s="16" t="str">
        <f t="shared" si="8"/>
        <v>Aprovado</v>
      </c>
      <c r="O142" s="16" t="str">
        <f t="shared" si="10"/>
        <v>Aprovado</v>
      </c>
      <c r="P142" s="29">
        <f t="shared" si="11"/>
        <v>2640</v>
      </c>
    </row>
    <row r="143" spans="1:16" x14ac:dyDescent="0.3">
      <c r="A143" s="20" t="s">
        <v>171</v>
      </c>
      <c r="B143" s="16" t="s">
        <v>290</v>
      </c>
      <c r="C143" s="44">
        <v>0</v>
      </c>
      <c r="D143" s="20">
        <v>33</v>
      </c>
      <c r="E143" s="17">
        <v>34021</v>
      </c>
      <c r="F143" s="16" t="s">
        <v>150</v>
      </c>
      <c r="G143" s="16" t="s">
        <v>15</v>
      </c>
      <c r="H143" s="18">
        <v>0</v>
      </c>
      <c r="I143" s="19">
        <v>73500</v>
      </c>
      <c r="J143" s="16">
        <v>33</v>
      </c>
      <c r="K143" s="16" t="str">
        <f t="shared" si="9"/>
        <v>Alto</v>
      </c>
      <c r="L143" s="16" t="s">
        <v>14</v>
      </c>
      <c r="M143" s="19">
        <v>95000</v>
      </c>
      <c r="N143" s="16" t="str">
        <f t="shared" si="8"/>
        <v>Aprovado</v>
      </c>
      <c r="O143" s="16" t="str">
        <f t="shared" si="10"/>
        <v>Aprovado</v>
      </c>
      <c r="P143" s="29">
        <f t="shared" si="11"/>
        <v>7600</v>
      </c>
    </row>
    <row r="144" spans="1:16" x14ac:dyDescent="0.3">
      <c r="A144" s="20" t="s">
        <v>172</v>
      </c>
      <c r="B144" s="16" t="s">
        <v>291</v>
      </c>
      <c r="C144" s="44">
        <v>33200</v>
      </c>
      <c r="D144" s="20">
        <v>66</v>
      </c>
      <c r="E144" s="17">
        <v>22039</v>
      </c>
      <c r="F144" s="16" t="s">
        <v>21</v>
      </c>
      <c r="G144" s="16" t="s">
        <v>21</v>
      </c>
      <c r="H144" s="18">
        <v>14300</v>
      </c>
      <c r="I144" s="19">
        <v>78000</v>
      </c>
      <c r="J144" s="16">
        <v>28</v>
      </c>
      <c r="K144" s="16" t="str">
        <f t="shared" si="9"/>
        <v>Alto</v>
      </c>
      <c r="L144" s="16" t="s">
        <v>14</v>
      </c>
      <c r="M144" s="19">
        <v>74500</v>
      </c>
      <c r="N144" s="16" t="str">
        <f t="shared" si="8"/>
        <v>Aprovado</v>
      </c>
      <c r="O144" s="16" t="str">
        <f t="shared" si="10"/>
        <v>Aprovado</v>
      </c>
      <c r="P144" s="29">
        <f t="shared" si="11"/>
        <v>0</v>
      </c>
    </row>
    <row r="145" spans="1:16" x14ac:dyDescent="0.3">
      <c r="A145" s="20" t="s">
        <v>172</v>
      </c>
      <c r="B145" s="16" t="s">
        <v>292</v>
      </c>
      <c r="C145" s="44">
        <v>0</v>
      </c>
      <c r="D145" s="20">
        <v>66</v>
      </c>
      <c r="E145" s="17">
        <v>21873</v>
      </c>
      <c r="F145" s="16" t="s">
        <v>143</v>
      </c>
      <c r="G145" s="16" t="s">
        <v>17</v>
      </c>
      <c r="H145" s="18">
        <v>9900</v>
      </c>
      <c r="I145" s="19">
        <v>42000</v>
      </c>
      <c r="J145" s="16">
        <v>13</v>
      </c>
      <c r="K145" s="16" t="str">
        <f t="shared" si="9"/>
        <v>Médio</v>
      </c>
      <c r="L145" s="16" t="s">
        <v>14</v>
      </c>
      <c r="M145" s="19">
        <v>37000</v>
      </c>
      <c r="N145" s="16" t="str">
        <f t="shared" si="8"/>
        <v>Aprovado</v>
      </c>
      <c r="O145" s="16" t="str">
        <f t="shared" si="10"/>
        <v>Aprovado</v>
      </c>
      <c r="P145" s="29">
        <f t="shared" si="11"/>
        <v>0</v>
      </c>
    </row>
    <row r="146" spans="1:16" x14ac:dyDescent="0.3">
      <c r="A146" s="20" t="s">
        <v>171</v>
      </c>
      <c r="B146" s="16" t="s">
        <v>293</v>
      </c>
      <c r="C146" s="44">
        <v>24900</v>
      </c>
      <c r="D146" s="20">
        <v>27</v>
      </c>
      <c r="E146" s="17">
        <v>36319</v>
      </c>
      <c r="F146" s="16" t="s">
        <v>150</v>
      </c>
      <c r="G146" s="16" t="s">
        <v>15</v>
      </c>
      <c r="H146" s="18">
        <v>28800</v>
      </c>
      <c r="I146" s="19">
        <v>78500</v>
      </c>
      <c r="J146" s="16">
        <v>2</v>
      </c>
      <c r="K146" s="16" t="str">
        <f t="shared" si="9"/>
        <v>Baixo</v>
      </c>
      <c r="L146" s="16" t="s">
        <v>14</v>
      </c>
      <c r="M146" s="19">
        <v>53000</v>
      </c>
      <c r="N146" s="16" t="str">
        <f t="shared" si="8"/>
        <v>Aprovado</v>
      </c>
      <c r="O146" s="16" t="str">
        <f t="shared" si="10"/>
        <v>Aprovado</v>
      </c>
      <c r="P146" s="29">
        <f t="shared" si="11"/>
        <v>4240</v>
      </c>
    </row>
    <row r="147" spans="1:16" x14ac:dyDescent="0.3">
      <c r="A147" s="20" t="s">
        <v>171</v>
      </c>
      <c r="B147" s="16" t="s">
        <v>294</v>
      </c>
      <c r="C147" s="44">
        <v>31000</v>
      </c>
      <c r="D147" s="20">
        <v>25</v>
      </c>
      <c r="E147" s="17">
        <v>37137</v>
      </c>
      <c r="F147" s="16" t="s">
        <v>137</v>
      </c>
      <c r="G147" s="16" t="s">
        <v>36</v>
      </c>
      <c r="H147" s="18">
        <v>0</v>
      </c>
      <c r="I147" s="19">
        <v>21000</v>
      </c>
      <c r="J147" s="16">
        <v>34</v>
      </c>
      <c r="K147" s="16" t="str">
        <f t="shared" si="9"/>
        <v>Alto</v>
      </c>
      <c r="L147" s="16" t="s">
        <v>14</v>
      </c>
      <c r="M147" s="19">
        <v>7500</v>
      </c>
      <c r="N147" s="16" t="str">
        <f t="shared" si="8"/>
        <v>Aprovado</v>
      </c>
      <c r="O147" s="16" t="str">
        <f t="shared" si="10"/>
        <v>Aprovado</v>
      </c>
      <c r="P147" s="29">
        <f t="shared" si="11"/>
        <v>600</v>
      </c>
    </row>
    <row r="148" spans="1:16" x14ac:dyDescent="0.3">
      <c r="A148" s="20" t="s">
        <v>171</v>
      </c>
      <c r="B148" s="16" t="s">
        <v>295</v>
      </c>
      <c r="C148" s="44">
        <v>9100</v>
      </c>
      <c r="D148" s="20">
        <v>37</v>
      </c>
      <c r="E148" s="17">
        <v>32412</v>
      </c>
      <c r="F148" s="16" t="s">
        <v>143</v>
      </c>
      <c r="G148" s="16" t="s">
        <v>17</v>
      </c>
      <c r="H148" s="18">
        <v>24700</v>
      </c>
      <c r="I148" s="19">
        <v>23000</v>
      </c>
      <c r="J148" s="16">
        <v>10</v>
      </c>
      <c r="K148" s="16" t="str">
        <f t="shared" si="9"/>
        <v>Baixo</v>
      </c>
      <c r="L148" s="16" t="s">
        <v>13</v>
      </c>
      <c r="M148" s="19">
        <v>37500</v>
      </c>
      <c r="N148" s="16" t="str">
        <f t="shared" si="8"/>
        <v>Aprovado</v>
      </c>
      <c r="O148" s="16" t="str">
        <f t="shared" si="10"/>
        <v>Aprovado</v>
      </c>
      <c r="P148" s="29">
        <f t="shared" si="11"/>
        <v>3000</v>
      </c>
    </row>
    <row r="149" spans="1:16" x14ac:dyDescent="0.3">
      <c r="A149" s="20" t="s">
        <v>172</v>
      </c>
      <c r="B149" s="16" t="s">
        <v>296</v>
      </c>
      <c r="C149" s="44">
        <v>16200</v>
      </c>
      <c r="D149" s="20">
        <v>47</v>
      </c>
      <c r="E149" s="17">
        <v>29064</v>
      </c>
      <c r="F149" s="16" t="s">
        <v>157</v>
      </c>
      <c r="G149" s="16" t="s">
        <v>16</v>
      </c>
      <c r="H149" s="18">
        <v>13300</v>
      </c>
      <c r="I149" s="19">
        <v>1000</v>
      </c>
      <c r="J149" s="16">
        <v>24</v>
      </c>
      <c r="K149" s="16" t="str">
        <f t="shared" si="9"/>
        <v>Médio</v>
      </c>
      <c r="L149" s="16" t="s">
        <v>13</v>
      </c>
      <c r="M149" s="19">
        <v>61500</v>
      </c>
      <c r="N149" s="16" t="str">
        <f t="shared" ref="N149:N212" si="12">IF(AND(K149="Alto",L149="Sim"),"Negado","Aprovado")</f>
        <v>Aprovado</v>
      </c>
      <c r="O149" s="16" t="str">
        <f t="shared" si="10"/>
        <v>Aprovado</v>
      </c>
      <c r="P149" s="29">
        <f t="shared" si="11"/>
        <v>0</v>
      </c>
    </row>
    <row r="150" spans="1:16" x14ac:dyDescent="0.3">
      <c r="A150" s="20" t="s">
        <v>172</v>
      </c>
      <c r="B150" s="16" t="s">
        <v>296</v>
      </c>
      <c r="C150" s="44">
        <v>16200</v>
      </c>
      <c r="D150" s="20">
        <v>47</v>
      </c>
      <c r="E150" s="17">
        <v>29064</v>
      </c>
      <c r="F150" s="16" t="s">
        <v>157</v>
      </c>
      <c r="G150" s="16" t="s">
        <v>16</v>
      </c>
      <c r="H150" s="19">
        <v>13300</v>
      </c>
      <c r="I150" s="19">
        <v>1000</v>
      </c>
      <c r="J150" s="16">
        <v>24</v>
      </c>
      <c r="K150" s="16" t="str">
        <f t="shared" si="9"/>
        <v>Médio</v>
      </c>
      <c r="L150" s="16" t="s">
        <v>13</v>
      </c>
      <c r="M150" s="19">
        <v>39500</v>
      </c>
      <c r="N150" s="16" t="str">
        <f t="shared" si="12"/>
        <v>Aprovado</v>
      </c>
      <c r="O150" s="16" t="str">
        <f t="shared" si="10"/>
        <v>Aprovado</v>
      </c>
      <c r="P150" s="29">
        <f t="shared" si="11"/>
        <v>0</v>
      </c>
    </row>
    <row r="151" spans="1:16" x14ac:dyDescent="0.3">
      <c r="A151" s="20" t="s">
        <v>172</v>
      </c>
      <c r="B151" s="16" t="s">
        <v>297</v>
      </c>
      <c r="C151" s="44">
        <v>7300</v>
      </c>
      <c r="D151" s="20">
        <v>63</v>
      </c>
      <c r="E151" s="17">
        <v>22924</v>
      </c>
      <c r="F151" s="16" t="s">
        <v>138</v>
      </c>
      <c r="G151" s="16" t="s">
        <v>27</v>
      </c>
      <c r="H151" s="18">
        <v>29000</v>
      </c>
      <c r="I151" s="19">
        <v>36500</v>
      </c>
      <c r="J151" s="16">
        <v>38</v>
      </c>
      <c r="K151" s="16" t="str">
        <f t="shared" si="9"/>
        <v>Alto</v>
      </c>
      <c r="L151" s="16" t="s">
        <v>14</v>
      </c>
      <c r="M151" s="19">
        <v>47000</v>
      </c>
      <c r="N151" s="16" t="str">
        <f t="shared" si="12"/>
        <v>Aprovado</v>
      </c>
      <c r="O151" s="16" t="str">
        <f t="shared" si="10"/>
        <v>Aprovado</v>
      </c>
      <c r="P151" s="29">
        <f t="shared" si="11"/>
        <v>0</v>
      </c>
    </row>
    <row r="152" spans="1:16" x14ac:dyDescent="0.3">
      <c r="A152" s="20" t="s">
        <v>172</v>
      </c>
      <c r="B152" s="16" t="s">
        <v>297</v>
      </c>
      <c r="C152" s="44">
        <v>7300</v>
      </c>
      <c r="D152" s="20">
        <v>63</v>
      </c>
      <c r="E152" s="17">
        <v>22924</v>
      </c>
      <c r="F152" s="16" t="s">
        <v>138</v>
      </c>
      <c r="G152" s="16" t="s">
        <v>27</v>
      </c>
      <c r="H152" s="18">
        <v>29000</v>
      </c>
      <c r="I152" s="19">
        <v>36500</v>
      </c>
      <c r="J152" s="16">
        <v>38</v>
      </c>
      <c r="K152" s="16" t="str">
        <f t="shared" si="9"/>
        <v>Alto</v>
      </c>
      <c r="L152" s="16" t="s">
        <v>14</v>
      </c>
      <c r="M152" s="19">
        <v>68000</v>
      </c>
      <c r="N152" s="16" t="str">
        <f t="shared" si="12"/>
        <v>Aprovado</v>
      </c>
      <c r="O152" s="16" t="str">
        <f t="shared" si="10"/>
        <v>Aprovado</v>
      </c>
      <c r="P152" s="29">
        <f t="shared" si="11"/>
        <v>0</v>
      </c>
    </row>
    <row r="153" spans="1:16" x14ac:dyDescent="0.3">
      <c r="A153" s="20" t="s">
        <v>172</v>
      </c>
      <c r="B153" s="16" t="s">
        <v>298</v>
      </c>
      <c r="C153" s="44">
        <v>6100</v>
      </c>
      <c r="D153" s="20">
        <v>58</v>
      </c>
      <c r="E153" s="17">
        <v>24726</v>
      </c>
      <c r="F153" s="16" t="s">
        <v>133</v>
      </c>
      <c r="G153" s="16" t="s">
        <v>27</v>
      </c>
      <c r="H153" s="18">
        <v>20100</v>
      </c>
      <c r="I153" s="19">
        <v>40000</v>
      </c>
      <c r="J153" s="16">
        <v>16</v>
      </c>
      <c r="K153" s="16" t="str">
        <f t="shared" si="9"/>
        <v>Médio</v>
      </c>
      <c r="L153" s="16" t="s">
        <v>14</v>
      </c>
      <c r="M153" s="19">
        <v>98500</v>
      </c>
      <c r="N153" s="16" t="str">
        <f t="shared" si="12"/>
        <v>Aprovado</v>
      </c>
      <c r="O153" s="16" t="str">
        <f t="shared" si="10"/>
        <v>Aprovado</v>
      </c>
      <c r="P153" s="29">
        <f t="shared" si="11"/>
        <v>0</v>
      </c>
    </row>
    <row r="154" spans="1:16" x14ac:dyDescent="0.3">
      <c r="A154" s="20" t="s">
        <v>171</v>
      </c>
      <c r="B154" s="16" t="s">
        <v>299</v>
      </c>
      <c r="C154" s="44">
        <v>19900</v>
      </c>
      <c r="D154" s="20">
        <v>69</v>
      </c>
      <c r="E154" s="17" t="s">
        <v>130</v>
      </c>
      <c r="F154" s="16" t="s">
        <v>134</v>
      </c>
      <c r="G154" s="16" t="s">
        <v>15</v>
      </c>
      <c r="H154" s="18">
        <v>11400</v>
      </c>
      <c r="I154" s="19">
        <v>0</v>
      </c>
      <c r="J154" s="16">
        <v>13</v>
      </c>
      <c r="K154" s="16" t="str">
        <f t="shared" si="9"/>
        <v>Médio</v>
      </c>
      <c r="L154" s="16" t="s">
        <v>13</v>
      </c>
      <c r="M154" s="19">
        <v>79000</v>
      </c>
      <c r="N154" s="16" t="str">
        <f t="shared" si="12"/>
        <v>Aprovado</v>
      </c>
      <c r="O154" s="16" t="str">
        <f t="shared" si="10"/>
        <v>Aprovado</v>
      </c>
      <c r="P154" s="29">
        <f t="shared" si="11"/>
        <v>6320</v>
      </c>
    </row>
    <row r="155" spans="1:16" x14ac:dyDescent="0.3">
      <c r="A155" s="20" t="s">
        <v>171</v>
      </c>
      <c r="B155" s="16" t="s">
        <v>300</v>
      </c>
      <c r="C155" s="44">
        <v>34300</v>
      </c>
      <c r="D155" s="20">
        <v>48</v>
      </c>
      <c r="E155" s="17">
        <v>28408</v>
      </c>
      <c r="F155" s="16" t="s">
        <v>153</v>
      </c>
      <c r="G155" s="16" t="s">
        <v>130</v>
      </c>
      <c r="H155" s="18">
        <v>13300</v>
      </c>
      <c r="I155" s="19">
        <v>42000</v>
      </c>
      <c r="J155" s="16">
        <v>27</v>
      </c>
      <c r="K155" s="16" t="str">
        <f t="shared" si="9"/>
        <v>Alto</v>
      </c>
      <c r="L155" s="16" t="s">
        <v>13</v>
      </c>
      <c r="M155" s="19">
        <v>40000</v>
      </c>
      <c r="N155" s="16" t="str">
        <f t="shared" si="12"/>
        <v>Negado</v>
      </c>
      <c r="O155" s="16" t="str">
        <f t="shared" si="10"/>
        <v>Aprovado</v>
      </c>
      <c r="P155" s="29">
        <f t="shared" si="11"/>
        <v>3200</v>
      </c>
    </row>
    <row r="156" spans="1:16" x14ac:dyDescent="0.3">
      <c r="A156" s="20" t="s">
        <v>171</v>
      </c>
      <c r="B156" s="16" t="s">
        <v>300</v>
      </c>
      <c r="C156" s="44">
        <v>32100</v>
      </c>
      <c r="D156" s="20">
        <v>32</v>
      </c>
      <c r="E156" s="17">
        <v>34299</v>
      </c>
      <c r="F156" s="16" t="s">
        <v>137</v>
      </c>
      <c r="G156" s="16" t="s">
        <v>36</v>
      </c>
      <c r="H156" s="18">
        <v>30000</v>
      </c>
      <c r="I156" s="19">
        <v>0</v>
      </c>
      <c r="J156" s="16">
        <v>5</v>
      </c>
      <c r="K156" s="16" t="str">
        <f t="shared" si="9"/>
        <v>Baixo</v>
      </c>
      <c r="L156" s="16" t="s">
        <v>14</v>
      </c>
      <c r="M156" s="19">
        <v>65000</v>
      </c>
      <c r="N156" s="16" t="str">
        <f t="shared" si="12"/>
        <v>Aprovado</v>
      </c>
      <c r="O156" s="16" t="str">
        <f t="shared" si="10"/>
        <v>Aprovado</v>
      </c>
      <c r="P156" s="29">
        <f t="shared" si="11"/>
        <v>5200</v>
      </c>
    </row>
    <row r="157" spans="1:16" x14ac:dyDescent="0.3">
      <c r="A157" s="20" t="s">
        <v>171</v>
      </c>
      <c r="B157" s="16" t="s">
        <v>301</v>
      </c>
      <c r="C157" s="44">
        <v>12800</v>
      </c>
      <c r="D157" s="20">
        <f ca="1">DATEDIF(E157,TODAY(),"Y")</f>
        <v>36</v>
      </c>
      <c r="E157" s="17">
        <v>32796</v>
      </c>
      <c r="F157" s="16" t="s">
        <v>139</v>
      </c>
      <c r="G157" s="16" t="s">
        <v>18</v>
      </c>
      <c r="H157" s="18">
        <v>28600</v>
      </c>
      <c r="I157" s="19">
        <v>0</v>
      </c>
      <c r="J157" s="16">
        <v>19</v>
      </c>
      <c r="K157" s="16" t="str">
        <f t="shared" si="9"/>
        <v>Médio</v>
      </c>
      <c r="L157" s="16" t="s">
        <v>14</v>
      </c>
      <c r="M157" s="19">
        <v>90000</v>
      </c>
      <c r="N157" s="16" t="str">
        <f t="shared" si="12"/>
        <v>Aprovado</v>
      </c>
      <c r="O157" s="16" t="str">
        <f t="shared" si="10"/>
        <v>Aprovado</v>
      </c>
      <c r="P157" s="29">
        <f t="shared" si="11"/>
        <v>7200</v>
      </c>
    </row>
    <row r="158" spans="1:16" x14ac:dyDescent="0.3">
      <c r="A158" s="20" t="s">
        <v>171</v>
      </c>
      <c r="B158" s="16" t="s">
        <v>302</v>
      </c>
      <c r="C158" s="44">
        <v>33400</v>
      </c>
      <c r="D158" s="20">
        <v>24</v>
      </c>
      <c r="E158" s="17">
        <v>37491</v>
      </c>
      <c r="F158" s="16" t="s">
        <v>21</v>
      </c>
      <c r="G158" s="16" t="s">
        <v>21</v>
      </c>
      <c r="H158" s="18">
        <v>8900</v>
      </c>
      <c r="I158" s="19">
        <v>19500</v>
      </c>
      <c r="J158" s="16">
        <v>33</v>
      </c>
      <c r="K158" s="16" t="str">
        <f t="shared" si="9"/>
        <v>Alto</v>
      </c>
      <c r="L158" s="16" t="s">
        <v>13</v>
      </c>
      <c r="M158" s="19">
        <v>96500</v>
      </c>
      <c r="N158" s="16" t="str">
        <f t="shared" si="12"/>
        <v>Negado</v>
      </c>
      <c r="O158" s="16" t="str">
        <f t="shared" si="10"/>
        <v>Aprovado</v>
      </c>
      <c r="P158" s="29">
        <f t="shared" si="11"/>
        <v>7720</v>
      </c>
    </row>
    <row r="159" spans="1:16" x14ac:dyDescent="0.3">
      <c r="A159" s="20" t="s">
        <v>171</v>
      </c>
      <c r="B159" s="16" t="s">
        <v>303</v>
      </c>
      <c r="C159" s="44">
        <v>13600</v>
      </c>
      <c r="D159" s="20">
        <v>41</v>
      </c>
      <c r="E159" s="17">
        <v>30944</v>
      </c>
      <c r="F159" s="16" t="s">
        <v>150</v>
      </c>
      <c r="G159" s="16" t="s">
        <v>15</v>
      </c>
      <c r="H159" s="18">
        <v>20000</v>
      </c>
      <c r="I159" s="19">
        <v>20500</v>
      </c>
      <c r="J159" s="16">
        <v>8</v>
      </c>
      <c r="K159" s="16" t="str">
        <f t="shared" si="9"/>
        <v>Baixo</v>
      </c>
      <c r="L159" s="16" t="s">
        <v>13</v>
      </c>
      <c r="M159" s="19">
        <v>44000</v>
      </c>
      <c r="N159" s="16" t="str">
        <f t="shared" si="12"/>
        <v>Aprovado</v>
      </c>
      <c r="O159" s="16" t="str">
        <f t="shared" si="10"/>
        <v>Aprovado</v>
      </c>
      <c r="P159" s="29">
        <f t="shared" si="11"/>
        <v>3520</v>
      </c>
    </row>
    <row r="160" spans="1:16" x14ac:dyDescent="0.3">
      <c r="A160" s="20" t="s">
        <v>171</v>
      </c>
      <c r="B160" s="16" t="s">
        <v>304</v>
      </c>
      <c r="C160" s="44">
        <v>13900</v>
      </c>
      <c r="D160" s="20">
        <v>55</v>
      </c>
      <c r="E160" s="17">
        <v>26161</v>
      </c>
      <c r="F160" s="16" t="s">
        <v>132</v>
      </c>
      <c r="G160" s="16" t="s">
        <v>130</v>
      </c>
      <c r="H160" s="18">
        <v>12200</v>
      </c>
      <c r="I160" s="19">
        <v>70500</v>
      </c>
      <c r="J160" s="16">
        <v>33</v>
      </c>
      <c r="K160" s="16" t="str">
        <f t="shared" si="9"/>
        <v>Alto</v>
      </c>
      <c r="L160" s="16" t="s">
        <v>14</v>
      </c>
      <c r="M160" s="19">
        <v>78000</v>
      </c>
      <c r="N160" s="16" t="str">
        <f t="shared" si="12"/>
        <v>Aprovado</v>
      </c>
      <c r="O160" s="16" t="str">
        <f t="shared" si="10"/>
        <v>Aprovado</v>
      </c>
      <c r="P160" s="29">
        <f t="shared" si="11"/>
        <v>6240</v>
      </c>
    </row>
    <row r="161" spans="1:16" x14ac:dyDescent="0.3">
      <c r="A161" s="20" t="s">
        <v>171</v>
      </c>
      <c r="B161" s="16" t="s">
        <v>305</v>
      </c>
      <c r="C161" s="44">
        <v>0</v>
      </c>
      <c r="D161" s="20">
        <v>67</v>
      </c>
      <c r="E161" s="17">
        <v>21689</v>
      </c>
      <c r="F161" s="16" t="s">
        <v>133</v>
      </c>
      <c r="G161" s="16" t="s">
        <v>27</v>
      </c>
      <c r="H161" s="18">
        <v>10700</v>
      </c>
      <c r="I161" s="19">
        <v>9000</v>
      </c>
      <c r="J161" s="16">
        <v>37</v>
      </c>
      <c r="K161" s="16" t="str">
        <f t="shared" si="9"/>
        <v>Alto</v>
      </c>
      <c r="L161" s="16" t="s">
        <v>14</v>
      </c>
      <c r="M161" s="19">
        <v>53000</v>
      </c>
      <c r="N161" s="16" t="str">
        <f t="shared" si="12"/>
        <v>Aprovado</v>
      </c>
      <c r="O161" s="16" t="str">
        <f t="shared" si="10"/>
        <v>Aprovado</v>
      </c>
      <c r="P161" s="29">
        <f t="shared" si="11"/>
        <v>4240</v>
      </c>
    </row>
    <row r="162" spans="1:16" x14ac:dyDescent="0.3">
      <c r="A162" s="20" t="s">
        <v>171</v>
      </c>
      <c r="B162" s="16" t="s">
        <v>306</v>
      </c>
      <c r="C162" s="44">
        <v>13000</v>
      </c>
      <c r="D162" s="20">
        <v>65</v>
      </c>
      <c r="E162" s="17">
        <v>22297</v>
      </c>
      <c r="F162" s="16" t="s">
        <v>141</v>
      </c>
      <c r="G162" s="16" t="s">
        <v>33</v>
      </c>
      <c r="H162" s="18">
        <v>27300</v>
      </c>
      <c r="I162" s="19">
        <v>48500</v>
      </c>
      <c r="J162" s="16">
        <v>29</v>
      </c>
      <c r="K162" s="16" t="str">
        <f t="shared" si="9"/>
        <v>Alto</v>
      </c>
      <c r="L162" s="16" t="s">
        <v>14</v>
      </c>
      <c r="M162" s="19">
        <v>94000</v>
      </c>
      <c r="N162" s="16" t="str">
        <f t="shared" si="12"/>
        <v>Aprovado</v>
      </c>
      <c r="O162" s="16" t="str">
        <f t="shared" si="10"/>
        <v>Aprovado</v>
      </c>
      <c r="P162" s="29">
        <f t="shared" si="11"/>
        <v>7520</v>
      </c>
    </row>
    <row r="163" spans="1:16" x14ac:dyDescent="0.3">
      <c r="A163" s="20" t="s">
        <v>171</v>
      </c>
      <c r="B163" s="16" t="s">
        <v>307</v>
      </c>
      <c r="C163" s="44">
        <v>11200</v>
      </c>
      <c r="D163" s="20">
        <v>65</v>
      </c>
      <c r="E163" s="17">
        <v>22314</v>
      </c>
      <c r="F163" s="16" t="s">
        <v>150</v>
      </c>
      <c r="G163" s="16" t="s">
        <v>15</v>
      </c>
      <c r="H163" s="18">
        <v>6100</v>
      </c>
      <c r="I163" s="19">
        <v>40000</v>
      </c>
      <c r="J163" s="16">
        <v>13</v>
      </c>
      <c r="K163" s="16" t="str">
        <f t="shared" si="9"/>
        <v>Médio</v>
      </c>
      <c r="L163" s="16" t="s">
        <v>14</v>
      </c>
      <c r="M163" s="19">
        <v>22500</v>
      </c>
      <c r="N163" s="16" t="str">
        <f t="shared" si="12"/>
        <v>Aprovado</v>
      </c>
      <c r="O163" s="16" t="str">
        <f t="shared" si="10"/>
        <v>Aprovado</v>
      </c>
      <c r="P163" s="29">
        <f t="shared" si="11"/>
        <v>1800</v>
      </c>
    </row>
    <row r="164" spans="1:16" x14ac:dyDescent="0.3">
      <c r="A164" s="20" t="s">
        <v>171</v>
      </c>
      <c r="B164" s="16" t="s">
        <v>308</v>
      </c>
      <c r="C164" s="44">
        <v>0</v>
      </c>
      <c r="D164" s="20">
        <v>20</v>
      </c>
      <c r="E164" s="17">
        <v>38678</v>
      </c>
      <c r="F164" s="16" t="s">
        <v>138</v>
      </c>
      <c r="G164" s="16" t="s">
        <v>27</v>
      </c>
      <c r="H164" s="18">
        <v>9300</v>
      </c>
      <c r="I164" s="19">
        <v>35000</v>
      </c>
      <c r="J164" s="16">
        <v>5</v>
      </c>
      <c r="K164" s="16" t="str">
        <f t="shared" si="9"/>
        <v>Baixo</v>
      </c>
      <c r="L164" s="16" t="s">
        <v>14</v>
      </c>
      <c r="M164" s="19">
        <v>10500</v>
      </c>
      <c r="N164" s="16" t="str">
        <f t="shared" si="12"/>
        <v>Aprovado</v>
      </c>
      <c r="O164" s="16" t="str">
        <f t="shared" si="10"/>
        <v>Aprovado</v>
      </c>
      <c r="P164" s="29">
        <f t="shared" si="11"/>
        <v>840</v>
      </c>
    </row>
    <row r="165" spans="1:16" x14ac:dyDescent="0.3">
      <c r="A165" s="20" t="s">
        <v>171</v>
      </c>
      <c r="B165" s="16" t="s">
        <v>309</v>
      </c>
      <c r="C165" s="44">
        <v>8100</v>
      </c>
      <c r="D165" s="20">
        <v>59</v>
      </c>
      <c r="E165" s="17">
        <v>24362</v>
      </c>
      <c r="F165" s="16" t="s">
        <v>153</v>
      </c>
      <c r="G165" s="16" t="s">
        <v>17</v>
      </c>
      <c r="H165" s="18">
        <v>18900</v>
      </c>
      <c r="I165" s="19">
        <v>1000</v>
      </c>
      <c r="J165" s="16">
        <v>42</v>
      </c>
      <c r="K165" s="16" t="str">
        <f t="shared" si="9"/>
        <v>Alto</v>
      </c>
      <c r="L165" s="16" t="s">
        <v>13</v>
      </c>
      <c r="M165" s="19">
        <v>16500</v>
      </c>
      <c r="N165" s="16" t="str">
        <f t="shared" si="12"/>
        <v>Negado</v>
      </c>
      <c r="O165" s="16" t="str">
        <f t="shared" si="10"/>
        <v>Aprovado</v>
      </c>
      <c r="P165" s="29">
        <f t="shared" si="11"/>
        <v>1320</v>
      </c>
    </row>
    <row r="166" spans="1:16" x14ac:dyDescent="0.3">
      <c r="A166" s="20" t="s">
        <v>171</v>
      </c>
      <c r="B166" s="16" t="s">
        <v>310</v>
      </c>
      <c r="C166" s="44">
        <v>0</v>
      </c>
      <c r="D166" s="20">
        <f ca="1">DATEDIF(E166,TODAY(),"Y")</f>
        <v>26</v>
      </c>
      <c r="E166" s="17">
        <v>36759</v>
      </c>
      <c r="F166" s="16" t="s">
        <v>21</v>
      </c>
      <c r="G166" s="16" t="s">
        <v>21</v>
      </c>
      <c r="H166" s="18">
        <v>23200</v>
      </c>
      <c r="I166" s="19">
        <v>54500</v>
      </c>
      <c r="J166" s="16">
        <v>26</v>
      </c>
      <c r="K166" s="16" t="str">
        <f t="shared" si="9"/>
        <v>Alto</v>
      </c>
      <c r="L166" s="16" t="s">
        <v>13</v>
      </c>
      <c r="M166" s="19">
        <v>75000</v>
      </c>
      <c r="N166" s="16" t="str">
        <f t="shared" si="12"/>
        <v>Negado</v>
      </c>
      <c r="O166" s="16" t="str">
        <f t="shared" si="10"/>
        <v>Negado</v>
      </c>
      <c r="P166" s="29">
        <f t="shared" si="11"/>
        <v>0</v>
      </c>
    </row>
    <row r="167" spans="1:16" x14ac:dyDescent="0.3">
      <c r="A167" s="20" t="s">
        <v>171</v>
      </c>
      <c r="B167" s="16" t="s">
        <v>310</v>
      </c>
      <c r="C167" s="44">
        <v>0</v>
      </c>
      <c r="D167" s="20">
        <f ca="1">DATEDIF(E167,TODAY(),"Y")</f>
        <v>26</v>
      </c>
      <c r="E167" s="17">
        <v>36759</v>
      </c>
      <c r="F167" s="16" t="s">
        <v>21</v>
      </c>
      <c r="G167" s="16" t="s">
        <v>21</v>
      </c>
      <c r="H167" s="18">
        <v>23200</v>
      </c>
      <c r="I167" s="19">
        <v>54500</v>
      </c>
      <c r="J167" s="16">
        <v>26</v>
      </c>
      <c r="K167" s="16" t="str">
        <f t="shared" si="9"/>
        <v>Alto</v>
      </c>
      <c r="L167" s="16" t="s">
        <v>13</v>
      </c>
      <c r="M167" s="19">
        <v>39500</v>
      </c>
      <c r="N167" s="16" t="str">
        <f t="shared" si="12"/>
        <v>Negado</v>
      </c>
      <c r="O167" s="16" t="str">
        <f t="shared" si="10"/>
        <v>Negado</v>
      </c>
      <c r="P167" s="29">
        <f t="shared" si="11"/>
        <v>0</v>
      </c>
    </row>
    <row r="168" spans="1:16" x14ac:dyDescent="0.3">
      <c r="A168" s="20" t="s">
        <v>171</v>
      </c>
      <c r="B168" s="16" t="s">
        <v>311</v>
      </c>
      <c r="C168" s="44">
        <v>35900</v>
      </c>
      <c r="D168" s="20">
        <v>29</v>
      </c>
      <c r="E168" s="17">
        <v>35600</v>
      </c>
      <c r="F168" s="16" t="s">
        <v>144</v>
      </c>
      <c r="G168" s="16" t="s">
        <v>18</v>
      </c>
      <c r="H168" s="18">
        <v>10000</v>
      </c>
      <c r="I168" s="19">
        <v>25500</v>
      </c>
      <c r="J168" s="16">
        <v>15</v>
      </c>
      <c r="K168" s="16" t="str">
        <f t="shared" si="9"/>
        <v>Médio</v>
      </c>
      <c r="L168" s="16" t="s">
        <v>14</v>
      </c>
      <c r="M168" s="19">
        <v>66000</v>
      </c>
      <c r="N168" s="16" t="str">
        <f t="shared" si="12"/>
        <v>Aprovado</v>
      </c>
      <c r="O168" s="16" t="str">
        <f t="shared" si="10"/>
        <v>Aprovado</v>
      </c>
      <c r="P168" s="29">
        <f t="shared" si="11"/>
        <v>5280</v>
      </c>
    </row>
    <row r="169" spans="1:16" x14ac:dyDescent="0.3">
      <c r="A169" s="20" t="s">
        <v>171</v>
      </c>
      <c r="B169" s="16" t="s">
        <v>312</v>
      </c>
      <c r="C169" s="44">
        <v>20800</v>
      </c>
      <c r="D169" s="20">
        <v>52</v>
      </c>
      <c r="E169" s="17">
        <v>27088</v>
      </c>
      <c r="F169" s="16" t="s">
        <v>150</v>
      </c>
      <c r="G169" s="16" t="s">
        <v>15</v>
      </c>
      <c r="H169" s="18">
        <v>24900</v>
      </c>
      <c r="I169" s="19">
        <v>0</v>
      </c>
      <c r="J169" s="16">
        <v>24</v>
      </c>
      <c r="K169" s="16" t="str">
        <f t="shared" si="9"/>
        <v>Médio</v>
      </c>
      <c r="L169" s="16" t="s">
        <v>14</v>
      </c>
      <c r="M169" s="19">
        <v>16000</v>
      </c>
      <c r="N169" s="16" t="str">
        <f t="shared" si="12"/>
        <v>Aprovado</v>
      </c>
      <c r="O169" s="16" t="str">
        <f t="shared" si="10"/>
        <v>Aprovado</v>
      </c>
      <c r="P169" s="29">
        <f t="shared" si="11"/>
        <v>1280</v>
      </c>
    </row>
    <row r="170" spans="1:16" x14ac:dyDescent="0.3">
      <c r="A170" s="20" t="s">
        <v>171</v>
      </c>
      <c r="B170" s="16" t="s">
        <v>312</v>
      </c>
      <c r="C170" s="44">
        <v>400</v>
      </c>
      <c r="D170" s="20">
        <v>26</v>
      </c>
      <c r="E170" s="17">
        <v>36671</v>
      </c>
      <c r="F170" s="16" t="s">
        <v>150</v>
      </c>
      <c r="G170" s="16" t="s">
        <v>15</v>
      </c>
      <c r="H170" s="18">
        <v>25000</v>
      </c>
      <c r="I170" s="19">
        <v>1000</v>
      </c>
      <c r="J170" s="16">
        <v>16</v>
      </c>
      <c r="K170" s="16" t="str">
        <f t="shared" si="9"/>
        <v>Médio</v>
      </c>
      <c r="L170" s="16" t="s">
        <v>14</v>
      </c>
      <c r="M170" s="19">
        <v>10500</v>
      </c>
      <c r="N170" s="16" t="str">
        <f t="shared" si="12"/>
        <v>Aprovado</v>
      </c>
      <c r="O170" s="16" t="str">
        <f t="shared" si="10"/>
        <v>Aprovado</v>
      </c>
      <c r="P170" s="29">
        <f t="shared" si="11"/>
        <v>840</v>
      </c>
    </row>
    <row r="171" spans="1:16" x14ac:dyDescent="0.3">
      <c r="A171" s="20" t="s">
        <v>172</v>
      </c>
      <c r="B171" s="16" t="s">
        <v>313</v>
      </c>
      <c r="C171" s="44">
        <v>22900</v>
      </c>
      <c r="D171" s="20">
        <v>48</v>
      </c>
      <c r="E171" s="17">
        <v>28737</v>
      </c>
      <c r="F171" s="16" t="s">
        <v>144</v>
      </c>
      <c r="G171" s="16" t="s">
        <v>18</v>
      </c>
      <c r="H171" s="18">
        <v>12400</v>
      </c>
      <c r="I171" s="19">
        <v>0</v>
      </c>
      <c r="J171" s="16">
        <v>25</v>
      </c>
      <c r="K171" s="16" t="str">
        <f t="shared" si="9"/>
        <v>Médio</v>
      </c>
      <c r="L171" s="16" t="s">
        <v>14</v>
      </c>
      <c r="M171" s="19">
        <v>65500</v>
      </c>
      <c r="N171" s="16" t="str">
        <f t="shared" si="12"/>
        <v>Aprovado</v>
      </c>
      <c r="O171" s="16" t="str">
        <f t="shared" si="10"/>
        <v>Aprovado</v>
      </c>
      <c r="P171" s="29">
        <f t="shared" si="11"/>
        <v>0</v>
      </c>
    </row>
    <row r="172" spans="1:16" x14ac:dyDescent="0.3">
      <c r="A172" s="20" t="s">
        <v>171</v>
      </c>
      <c r="B172" s="16" t="s">
        <v>314</v>
      </c>
      <c r="C172" s="44">
        <v>21000</v>
      </c>
      <c r="D172" s="20">
        <v>63</v>
      </c>
      <c r="E172" s="17">
        <v>23156</v>
      </c>
      <c r="F172" s="16" t="s">
        <v>146</v>
      </c>
      <c r="G172" s="16" t="s">
        <v>165</v>
      </c>
      <c r="H172" s="18">
        <v>10400</v>
      </c>
      <c r="I172" s="19">
        <v>8500</v>
      </c>
      <c r="J172" s="16">
        <v>39</v>
      </c>
      <c r="K172" s="16" t="str">
        <f t="shared" si="9"/>
        <v>Alto</v>
      </c>
      <c r="L172" s="16" t="s">
        <v>14</v>
      </c>
      <c r="M172" s="19">
        <v>36500</v>
      </c>
      <c r="N172" s="16" t="str">
        <f t="shared" si="12"/>
        <v>Aprovado</v>
      </c>
      <c r="O172" s="16" t="str">
        <f t="shared" si="10"/>
        <v>Aprovado</v>
      </c>
      <c r="P172" s="29">
        <f t="shared" si="11"/>
        <v>2920</v>
      </c>
    </row>
    <row r="173" spans="1:16" x14ac:dyDescent="0.3">
      <c r="A173" s="20" t="s">
        <v>172</v>
      </c>
      <c r="B173" s="16" t="s">
        <v>314</v>
      </c>
      <c r="C173" s="44">
        <v>29400</v>
      </c>
      <c r="D173" s="20">
        <v>39</v>
      </c>
      <c r="E173" s="17">
        <v>31693</v>
      </c>
      <c r="F173" s="16" t="s">
        <v>141</v>
      </c>
      <c r="G173" s="16" t="s">
        <v>33</v>
      </c>
      <c r="H173" s="18">
        <v>22200</v>
      </c>
      <c r="I173" s="19">
        <v>0</v>
      </c>
      <c r="J173" s="16">
        <v>3</v>
      </c>
      <c r="K173" s="16" t="str">
        <f t="shared" si="9"/>
        <v>Baixo</v>
      </c>
      <c r="L173" s="16" t="s">
        <v>13</v>
      </c>
      <c r="M173" s="19">
        <v>7000</v>
      </c>
      <c r="N173" s="16" t="str">
        <f t="shared" si="12"/>
        <v>Aprovado</v>
      </c>
      <c r="O173" s="16" t="str">
        <f t="shared" si="10"/>
        <v>Aprovado</v>
      </c>
      <c r="P173" s="29">
        <f t="shared" si="11"/>
        <v>0</v>
      </c>
    </row>
    <row r="174" spans="1:16" x14ac:dyDescent="0.3">
      <c r="A174" s="20" t="s">
        <v>171</v>
      </c>
      <c r="B174" s="16" t="s">
        <v>315</v>
      </c>
      <c r="C174" s="44">
        <v>20400</v>
      </c>
      <c r="D174" s="20">
        <v>49</v>
      </c>
      <c r="E174" s="17">
        <v>28147</v>
      </c>
      <c r="F174" s="16" t="s">
        <v>144</v>
      </c>
      <c r="G174" s="16" t="s">
        <v>18</v>
      </c>
      <c r="H174" s="18">
        <v>28400</v>
      </c>
      <c r="I174" s="19">
        <v>38500</v>
      </c>
      <c r="J174" s="16">
        <v>26</v>
      </c>
      <c r="K174" s="16" t="str">
        <f t="shared" si="9"/>
        <v>Alto</v>
      </c>
      <c r="L174" s="16" t="s">
        <v>14</v>
      </c>
      <c r="M174" s="19">
        <v>51000</v>
      </c>
      <c r="N174" s="16" t="str">
        <f t="shared" si="12"/>
        <v>Aprovado</v>
      </c>
      <c r="O174" s="16" t="str">
        <f t="shared" si="10"/>
        <v>Aprovado</v>
      </c>
      <c r="P174" s="29">
        <f t="shared" si="11"/>
        <v>4080</v>
      </c>
    </row>
    <row r="175" spans="1:16" x14ac:dyDescent="0.3">
      <c r="A175" s="20" t="s">
        <v>171</v>
      </c>
      <c r="B175" s="16" t="s">
        <v>316</v>
      </c>
      <c r="C175" s="44">
        <v>700</v>
      </c>
      <c r="D175" s="20">
        <v>44</v>
      </c>
      <c r="E175" s="17">
        <v>30069</v>
      </c>
      <c r="F175" s="16" t="s">
        <v>157</v>
      </c>
      <c r="G175" s="16" t="s">
        <v>16</v>
      </c>
      <c r="H175" s="18">
        <v>21700</v>
      </c>
      <c r="I175" s="19">
        <v>34500</v>
      </c>
      <c r="J175" s="16">
        <v>29</v>
      </c>
      <c r="K175" s="16" t="str">
        <f t="shared" si="9"/>
        <v>Alto</v>
      </c>
      <c r="L175" s="16" t="s">
        <v>14</v>
      </c>
      <c r="M175" s="19">
        <v>10500</v>
      </c>
      <c r="N175" s="16" t="str">
        <f t="shared" si="12"/>
        <v>Aprovado</v>
      </c>
      <c r="O175" s="16" t="str">
        <f t="shared" si="10"/>
        <v>Aprovado</v>
      </c>
      <c r="P175" s="29">
        <f t="shared" si="11"/>
        <v>840</v>
      </c>
    </row>
    <row r="176" spans="1:16" x14ac:dyDescent="0.3">
      <c r="A176" s="20" t="s">
        <v>172</v>
      </c>
      <c r="B176" s="16" t="s">
        <v>316</v>
      </c>
      <c r="C176" s="44">
        <v>34600</v>
      </c>
      <c r="D176" s="20">
        <v>62</v>
      </c>
      <c r="E176" s="17">
        <v>23259</v>
      </c>
      <c r="F176" s="16" t="s">
        <v>139</v>
      </c>
      <c r="G176" s="16" t="s">
        <v>18</v>
      </c>
      <c r="H176" s="18">
        <v>0</v>
      </c>
      <c r="I176" s="19">
        <v>0</v>
      </c>
      <c r="J176" s="16">
        <v>1</v>
      </c>
      <c r="K176" s="16" t="str">
        <f t="shared" si="9"/>
        <v>Baixo</v>
      </c>
      <c r="L176" s="16" t="s">
        <v>13</v>
      </c>
      <c r="M176" s="19">
        <v>12000</v>
      </c>
      <c r="N176" s="16" t="str">
        <f t="shared" si="12"/>
        <v>Aprovado</v>
      </c>
      <c r="O176" s="16" t="str">
        <f t="shared" si="10"/>
        <v>Aprovado</v>
      </c>
      <c r="P176" s="29">
        <f t="shared" si="11"/>
        <v>0</v>
      </c>
    </row>
    <row r="177" spans="1:16" x14ac:dyDescent="0.3">
      <c r="A177" s="20" t="s">
        <v>171</v>
      </c>
      <c r="B177" s="16" t="s">
        <v>317</v>
      </c>
      <c r="C177" s="44">
        <v>16800</v>
      </c>
      <c r="D177" s="20">
        <v>37</v>
      </c>
      <c r="E177" s="17">
        <v>32414</v>
      </c>
      <c r="F177" s="16" t="s">
        <v>158</v>
      </c>
      <c r="G177" s="16" t="s">
        <v>168</v>
      </c>
      <c r="H177" s="18">
        <v>12800</v>
      </c>
      <c r="I177" s="19">
        <v>76500</v>
      </c>
      <c r="J177" s="16">
        <v>30</v>
      </c>
      <c r="K177" s="16" t="str">
        <f t="shared" si="9"/>
        <v>Alto</v>
      </c>
      <c r="L177" s="16" t="s">
        <v>14</v>
      </c>
      <c r="M177" s="19">
        <v>18500</v>
      </c>
      <c r="N177" s="16" t="str">
        <f t="shared" si="12"/>
        <v>Aprovado</v>
      </c>
      <c r="O177" s="16" t="str">
        <f t="shared" si="10"/>
        <v>Aprovado</v>
      </c>
      <c r="P177" s="29">
        <f t="shared" si="11"/>
        <v>1480</v>
      </c>
    </row>
    <row r="178" spans="1:16" x14ac:dyDescent="0.3">
      <c r="A178" s="20" t="s">
        <v>171</v>
      </c>
      <c r="B178" s="16" t="s">
        <v>317</v>
      </c>
      <c r="C178" s="44">
        <v>16800</v>
      </c>
      <c r="D178" s="20">
        <v>37</v>
      </c>
      <c r="E178" s="17">
        <v>32414</v>
      </c>
      <c r="F178" s="16" t="s">
        <v>158</v>
      </c>
      <c r="G178" s="16" t="s">
        <v>168</v>
      </c>
      <c r="H178" s="18">
        <v>12800</v>
      </c>
      <c r="I178" s="19">
        <v>76500</v>
      </c>
      <c r="J178" s="16">
        <v>30</v>
      </c>
      <c r="K178" s="16" t="str">
        <f t="shared" si="9"/>
        <v>Alto</v>
      </c>
      <c r="L178" s="16" t="s">
        <v>14</v>
      </c>
      <c r="M178" s="19">
        <v>95000</v>
      </c>
      <c r="N178" s="16" t="str">
        <f t="shared" si="12"/>
        <v>Aprovado</v>
      </c>
      <c r="O178" s="16" t="str">
        <f t="shared" si="10"/>
        <v>Aprovado</v>
      </c>
      <c r="P178" s="29">
        <f t="shared" si="11"/>
        <v>7600</v>
      </c>
    </row>
    <row r="179" spans="1:16" x14ac:dyDescent="0.3">
      <c r="A179" s="20" t="s">
        <v>171</v>
      </c>
      <c r="B179" s="16" t="s">
        <v>317</v>
      </c>
      <c r="C179" s="44">
        <v>33900</v>
      </c>
      <c r="D179" s="20">
        <v>53</v>
      </c>
      <c r="E179" s="17">
        <v>26558</v>
      </c>
      <c r="F179" s="16" t="s">
        <v>139</v>
      </c>
      <c r="G179" s="16" t="s">
        <v>18</v>
      </c>
      <c r="H179" s="18">
        <v>15500</v>
      </c>
      <c r="I179" s="19">
        <v>0</v>
      </c>
      <c r="J179" s="16">
        <v>16</v>
      </c>
      <c r="K179" s="16" t="str">
        <f t="shared" si="9"/>
        <v>Médio</v>
      </c>
      <c r="L179" s="16" t="s">
        <v>14</v>
      </c>
      <c r="M179" s="19">
        <v>41000</v>
      </c>
      <c r="N179" s="16" t="str">
        <f t="shared" si="12"/>
        <v>Aprovado</v>
      </c>
      <c r="O179" s="16" t="str">
        <f t="shared" si="10"/>
        <v>Aprovado</v>
      </c>
      <c r="P179" s="29">
        <f t="shared" si="11"/>
        <v>3280</v>
      </c>
    </row>
    <row r="180" spans="1:16" x14ac:dyDescent="0.3">
      <c r="A180" s="20" t="s">
        <v>171</v>
      </c>
      <c r="B180" s="16" t="s">
        <v>318</v>
      </c>
      <c r="C180" s="44">
        <v>16500</v>
      </c>
      <c r="D180" s="20">
        <v>37</v>
      </c>
      <c r="E180" s="17">
        <v>32513</v>
      </c>
      <c r="F180" s="16" t="s">
        <v>154</v>
      </c>
      <c r="G180" s="16" t="s">
        <v>23</v>
      </c>
      <c r="H180" s="18">
        <v>2600</v>
      </c>
      <c r="I180" s="19">
        <v>0</v>
      </c>
      <c r="J180" s="16">
        <v>5</v>
      </c>
      <c r="K180" s="16" t="str">
        <f t="shared" si="9"/>
        <v>Baixo</v>
      </c>
      <c r="L180" s="16" t="s">
        <v>14</v>
      </c>
      <c r="M180" s="19">
        <v>16500</v>
      </c>
      <c r="N180" s="16" t="str">
        <f t="shared" si="12"/>
        <v>Aprovado</v>
      </c>
      <c r="O180" s="16" t="str">
        <f t="shared" si="10"/>
        <v>Aprovado</v>
      </c>
      <c r="P180" s="29">
        <f t="shared" si="11"/>
        <v>1320</v>
      </c>
    </row>
    <row r="181" spans="1:16" x14ac:dyDescent="0.3">
      <c r="A181" s="20" t="s">
        <v>172</v>
      </c>
      <c r="B181" s="16" t="s">
        <v>318</v>
      </c>
      <c r="C181" s="44">
        <v>0</v>
      </c>
      <c r="D181" s="20">
        <v>48</v>
      </c>
      <c r="E181" s="17">
        <v>28663</v>
      </c>
      <c r="F181" s="16" t="s">
        <v>144</v>
      </c>
      <c r="G181" s="16" t="s">
        <v>18</v>
      </c>
      <c r="H181" s="18">
        <v>24700</v>
      </c>
      <c r="I181" s="19">
        <v>30500</v>
      </c>
      <c r="J181" s="16">
        <v>34</v>
      </c>
      <c r="K181" s="16" t="str">
        <f t="shared" si="9"/>
        <v>Alto</v>
      </c>
      <c r="L181" s="16" t="s">
        <v>14</v>
      </c>
      <c r="M181" s="19">
        <v>87500</v>
      </c>
      <c r="N181" s="16" t="str">
        <f t="shared" si="12"/>
        <v>Aprovado</v>
      </c>
      <c r="O181" s="16" t="str">
        <f t="shared" si="10"/>
        <v>Aprovado</v>
      </c>
      <c r="P181" s="29">
        <f t="shared" si="11"/>
        <v>0</v>
      </c>
    </row>
    <row r="182" spans="1:16" x14ac:dyDescent="0.3">
      <c r="A182" s="20" t="s">
        <v>171</v>
      </c>
      <c r="B182" s="16" t="s">
        <v>319</v>
      </c>
      <c r="C182" s="44">
        <v>20700</v>
      </c>
      <c r="D182" s="20">
        <v>66</v>
      </c>
      <c r="E182" s="17">
        <v>22151</v>
      </c>
      <c r="F182" s="16" t="s">
        <v>147</v>
      </c>
      <c r="G182" s="16" t="s">
        <v>164</v>
      </c>
      <c r="H182" s="18">
        <v>28800</v>
      </c>
      <c r="I182" s="19">
        <v>16000</v>
      </c>
      <c r="J182" s="16">
        <v>44</v>
      </c>
      <c r="K182" s="16" t="str">
        <f t="shared" si="9"/>
        <v>Alto</v>
      </c>
      <c r="L182" s="16" t="s">
        <v>13</v>
      </c>
      <c r="M182" s="19">
        <v>59000</v>
      </c>
      <c r="N182" s="16" t="str">
        <f t="shared" si="12"/>
        <v>Negado</v>
      </c>
      <c r="O182" s="16" t="str">
        <f t="shared" si="10"/>
        <v>Aprovado</v>
      </c>
      <c r="P182" s="29">
        <f t="shared" si="11"/>
        <v>4720</v>
      </c>
    </row>
    <row r="183" spans="1:16" x14ac:dyDescent="0.3">
      <c r="A183" s="20" t="s">
        <v>171</v>
      </c>
      <c r="B183" s="16" t="s">
        <v>320</v>
      </c>
      <c r="C183" s="44">
        <v>2100</v>
      </c>
      <c r="D183" s="20">
        <v>45</v>
      </c>
      <c r="E183" s="17" t="s">
        <v>49</v>
      </c>
      <c r="F183" s="16" t="s">
        <v>138</v>
      </c>
      <c r="G183" s="16" t="s">
        <v>27</v>
      </c>
      <c r="H183" s="19">
        <v>16200</v>
      </c>
      <c r="I183" s="19">
        <v>59000</v>
      </c>
      <c r="J183" s="16">
        <v>4</v>
      </c>
      <c r="K183" s="16" t="str">
        <f t="shared" si="9"/>
        <v>Baixo</v>
      </c>
      <c r="L183" s="16" t="s">
        <v>14</v>
      </c>
      <c r="M183" s="19">
        <v>73500</v>
      </c>
      <c r="N183" s="16" t="str">
        <f t="shared" si="12"/>
        <v>Aprovado</v>
      </c>
      <c r="O183" s="16" t="str">
        <f t="shared" si="10"/>
        <v>Aprovado</v>
      </c>
      <c r="P183" s="29">
        <f t="shared" si="11"/>
        <v>5880</v>
      </c>
    </row>
    <row r="184" spans="1:16" x14ac:dyDescent="0.3">
      <c r="A184" s="20" t="s">
        <v>171</v>
      </c>
      <c r="B184" s="16" t="s">
        <v>321</v>
      </c>
      <c r="C184" s="44">
        <v>28600</v>
      </c>
      <c r="D184" s="20">
        <v>43</v>
      </c>
      <c r="E184" s="17">
        <v>30437</v>
      </c>
      <c r="F184" s="16" t="s">
        <v>144</v>
      </c>
      <c r="G184" s="16" t="s">
        <v>18</v>
      </c>
      <c r="H184" s="18">
        <v>14600</v>
      </c>
      <c r="I184" s="19">
        <v>18500</v>
      </c>
      <c r="J184" s="16">
        <v>22</v>
      </c>
      <c r="K184" s="16" t="str">
        <f t="shared" si="9"/>
        <v>Médio</v>
      </c>
      <c r="L184" s="16" t="s">
        <v>13</v>
      </c>
      <c r="M184" s="19">
        <v>16500</v>
      </c>
      <c r="N184" s="16" t="str">
        <f t="shared" si="12"/>
        <v>Aprovado</v>
      </c>
      <c r="O184" s="16" t="str">
        <f t="shared" si="10"/>
        <v>Aprovado</v>
      </c>
      <c r="P184" s="29">
        <f t="shared" si="11"/>
        <v>1320</v>
      </c>
    </row>
    <row r="185" spans="1:16" x14ac:dyDescent="0.3">
      <c r="A185" s="20" t="s">
        <v>172</v>
      </c>
      <c r="B185" s="16" t="s">
        <v>30</v>
      </c>
      <c r="C185" s="44">
        <v>21700</v>
      </c>
      <c r="D185" s="20">
        <v>68</v>
      </c>
      <c r="E185" s="17">
        <v>21205</v>
      </c>
      <c r="F185" s="16" t="s">
        <v>132</v>
      </c>
      <c r="G185" s="16" t="s">
        <v>23</v>
      </c>
      <c r="H185" s="18">
        <v>8200</v>
      </c>
      <c r="I185" s="19">
        <v>66000</v>
      </c>
      <c r="J185" s="16">
        <v>16</v>
      </c>
      <c r="K185" s="16" t="str">
        <f t="shared" si="9"/>
        <v>Médio</v>
      </c>
      <c r="L185" s="16" t="s">
        <v>14</v>
      </c>
      <c r="M185" s="19">
        <v>84000</v>
      </c>
      <c r="N185" s="16" t="str">
        <f t="shared" si="12"/>
        <v>Aprovado</v>
      </c>
      <c r="O185" s="16" t="str">
        <f t="shared" si="10"/>
        <v>Aprovado</v>
      </c>
      <c r="P185" s="29">
        <f t="shared" si="11"/>
        <v>0</v>
      </c>
    </row>
    <row r="186" spans="1:16" x14ac:dyDescent="0.3">
      <c r="A186" s="20" t="s">
        <v>171</v>
      </c>
      <c r="B186" s="16" t="s">
        <v>322</v>
      </c>
      <c r="C186" s="44">
        <v>25400</v>
      </c>
      <c r="D186" s="20">
        <v>51</v>
      </c>
      <c r="E186" s="17">
        <v>27505</v>
      </c>
      <c r="F186" s="16" t="s">
        <v>159</v>
      </c>
      <c r="G186" s="16" t="s">
        <v>169</v>
      </c>
      <c r="H186" s="18">
        <v>7200</v>
      </c>
      <c r="I186" s="19">
        <v>17500</v>
      </c>
      <c r="J186" s="16">
        <v>40</v>
      </c>
      <c r="K186" s="16" t="str">
        <f t="shared" si="9"/>
        <v>Alto</v>
      </c>
      <c r="L186" s="16" t="s">
        <v>13</v>
      </c>
      <c r="M186" s="19">
        <v>5500</v>
      </c>
      <c r="N186" s="16" t="str">
        <f t="shared" si="12"/>
        <v>Negado</v>
      </c>
      <c r="O186" s="16" t="str">
        <f t="shared" si="10"/>
        <v>Aprovado</v>
      </c>
      <c r="P186" s="29">
        <f t="shared" si="11"/>
        <v>440</v>
      </c>
    </row>
    <row r="187" spans="1:16" x14ac:dyDescent="0.3">
      <c r="A187" s="20" t="s">
        <v>171</v>
      </c>
      <c r="B187" s="16" t="s">
        <v>323</v>
      </c>
      <c r="C187" s="44">
        <v>28700</v>
      </c>
      <c r="D187" s="20">
        <v>58</v>
      </c>
      <c r="E187" s="17">
        <v>24911</v>
      </c>
      <c r="F187" s="16" t="s">
        <v>149</v>
      </c>
      <c r="G187" s="16" t="s">
        <v>16</v>
      </c>
      <c r="H187" s="18">
        <v>25400</v>
      </c>
      <c r="I187" s="19">
        <v>70500</v>
      </c>
      <c r="J187" s="16">
        <v>11</v>
      </c>
      <c r="K187" s="16" t="str">
        <f t="shared" si="9"/>
        <v>Médio</v>
      </c>
      <c r="L187" s="16" t="s">
        <v>13</v>
      </c>
      <c r="M187" s="19">
        <v>47000</v>
      </c>
      <c r="N187" s="16" t="str">
        <f t="shared" si="12"/>
        <v>Aprovado</v>
      </c>
      <c r="O187" s="16" t="str">
        <f t="shared" si="10"/>
        <v>Negado</v>
      </c>
      <c r="P187" s="29">
        <f t="shared" si="11"/>
        <v>3760</v>
      </c>
    </row>
    <row r="188" spans="1:16" x14ac:dyDescent="0.3">
      <c r="A188" s="20" t="s">
        <v>172</v>
      </c>
      <c r="B188" s="16" t="s">
        <v>324</v>
      </c>
      <c r="C188" s="44">
        <v>1700</v>
      </c>
      <c r="D188" s="20">
        <v>30</v>
      </c>
      <c r="E188" s="17">
        <v>35213</v>
      </c>
      <c r="F188" s="16" t="s">
        <v>160</v>
      </c>
      <c r="G188" s="16" t="s">
        <v>170</v>
      </c>
      <c r="H188" s="18">
        <v>3900</v>
      </c>
      <c r="I188" s="19">
        <v>45000</v>
      </c>
      <c r="J188" s="16">
        <v>34</v>
      </c>
      <c r="K188" s="16" t="str">
        <f t="shared" si="9"/>
        <v>Alto</v>
      </c>
      <c r="L188" s="16" t="s">
        <v>14</v>
      </c>
      <c r="M188" s="19">
        <v>41500</v>
      </c>
      <c r="N188" s="16" t="str">
        <f t="shared" si="12"/>
        <v>Aprovado</v>
      </c>
      <c r="O188" s="16" t="str">
        <f t="shared" si="10"/>
        <v>Aprovado</v>
      </c>
      <c r="P188" s="29">
        <f t="shared" si="11"/>
        <v>0</v>
      </c>
    </row>
    <row r="189" spans="1:16" x14ac:dyDescent="0.3">
      <c r="A189" s="20" t="s">
        <v>171</v>
      </c>
      <c r="B189" s="16" t="s">
        <v>325</v>
      </c>
      <c r="C189" s="44">
        <v>36200</v>
      </c>
      <c r="D189" s="20">
        <v>68</v>
      </c>
      <c r="E189" s="17">
        <v>21145</v>
      </c>
      <c r="F189" s="16" t="s">
        <v>143</v>
      </c>
      <c r="G189" s="16" t="s">
        <v>17</v>
      </c>
      <c r="H189" s="18">
        <v>29000</v>
      </c>
      <c r="I189" s="19">
        <v>67500</v>
      </c>
      <c r="J189" s="16">
        <v>25</v>
      </c>
      <c r="K189" s="16" t="str">
        <f t="shared" si="9"/>
        <v>Médio</v>
      </c>
      <c r="L189" s="16" t="s">
        <v>14</v>
      </c>
      <c r="M189" s="19">
        <v>18000</v>
      </c>
      <c r="N189" s="16" t="str">
        <f t="shared" si="12"/>
        <v>Aprovado</v>
      </c>
      <c r="O189" s="16" t="str">
        <f t="shared" si="10"/>
        <v>Aprovado</v>
      </c>
      <c r="P189" s="29">
        <f t="shared" si="11"/>
        <v>1440</v>
      </c>
    </row>
    <row r="190" spans="1:16" x14ac:dyDescent="0.3">
      <c r="A190" s="20" t="s">
        <v>171</v>
      </c>
      <c r="B190" s="16" t="s">
        <v>326</v>
      </c>
      <c r="C190" s="44">
        <v>30200</v>
      </c>
      <c r="D190" s="20">
        <v>49</v>
      </c>
      <c r="E190" s="17">
        <v>28067</v>
      </c>
      <c r="F190" s="16" t="s">
        <v>136</v>
      </c>
      <c r="G190" s="16" t="s">
        <v>28</v>
      </c>
      <c r="H190" s="18">
        <v>29800</v>
      </c>
      <c r="I190" s="19">
        <v>54500</v>
      </c>
      <c r="J190" s="16">
        <v>34</v>
      </c>
      <c r="K190" s="16" t="str">
        <f t="shared" si="9"/>
        <v>Alto</v>
      </c>
      <c r="L190" s="16" t="s">
        <v>14</v>
      </c>
      <c r="M190" s="19">
        <v>72000</v>
      </c>
      <c r="N190" s="16" t="str">
        <f t="shared" si="12"/>
        <v>Aprovado</v>
      </c>
      <c r="O190" s="16" t="str">
        <f t="shared" si="10"/>
        <v>Aprovado</v>
      </c>
      <c r="P190" s="29">
        <f t="shared" si="11"/>
        <v>5760</v>
      </c>
    </row>
    <row r="191" spans="1:16" x14ac:dyDescent="0.3">
      <c r="A191" s="20" t="s">
        <v>171</v>
      </c>
      <c r="B191" s="16" t="s">
        <v>327</v>
      </c>
      <c r="C191" s="44">
        <v>0</v>
      </c>
      <c r="D191" s="20">
        <v>38</v>
      </c>
      <c r="E191" s="17">
        <v>32152</v>
      </c>
      <c r="F191" s="16" t="s">
        <v>161</v>
      </c>
      <c r="G191" s="16" t="s">
        <v>170</v>
      </c>
      <c r="H191" s="18">
        <v>2000</v>
      </c>
      <c r="I191" s="19">
        <v>60000</v>
      </c>
      <c r="J191" s="16">
        <v>18</v>
      </c>
      <c r="K191" s="16" t="str">
        <f t="shared" si="9"/>
        <v>Médio</v>
      </c>
      <c r="L191" s="16" t="s">
        <v>14</v>
      </c>
      <c r="M191" s="19">
        <v>54000</v>
      </c>
      <c r="N191" s="16" t="str">
        <f t="shared" si="12"/>
        <v>Aprovado</v>
      </c>
      <c r="O191" s="16" t="str">
        <f t="shared" si="10"/>
        <v>Aprovado</v>
      </c>
      <c r="P191" s="29">
        <f t="shared" si="11"/>
        <v>4320</v>
      </c>
    </row>
    <row r="192" spans="1:16" x14ac:dyDescent="0.3">
      <c r="A192" s="20" t="s">
        <v>172</v>
      </c>
      <c r="B192" s="16" t="s">
        <v>328</v>
      </c>
      <c r="C192" s="44">
        <v>2700</v>
      </c>
      <c r="D192" s="20">
        <v>30</v>
      </c>
      <c r="E192" s="17">
        <v>35200</v>
      </c>
      <c r="F192" s="16" t="s">
        <v>138</v>
      </c>
      <c r="G192" s="16" t="s">
        <v>27</v>
      </c>
      <c r="H192" s="18">
        <v>26500</v>
      </c>
      <c r="I192" s="19">
        <v>14500</v>
      </c>
      <c r="J192" s="16">
        <v>15</v>
      </c>
      <c r="K192" s="16" t="str">
        <f t="shared" si="9"/>
        <v>Médio</v>
      </c>
      <c r="L192" s="16" t="s">
        <v>14</v>
      </c>
      <c r="M192" s="19">
        <v>65500</v>
      </c>
      <c r="N192" s="16" t="str">
        <f t="shared" si="12"/>
        <v>Aprovado</v>
      </c>
      <c r="O192" s="16" t="str">
        <f t="shared" si="10"/>
        <v>Aprovado</v>
      </c>
      <c r="P192" s="29">
        <f t="shared" si="11"/>
        <v>0</v>
      </c>
    </row>
    <row r="193" spans="1:16" x14ac:dyDescent="0.3">
      <c r="A193" s="20" t="s">
        <v>172</v>
      </c>
      <c r="B193" s="16" t="s">
        <v>328</v>
      </c>
      <c r="C193" s="44">
        <v>2700</v>
      </c>
      <c r="D193" s="20">
        <v>30</v>
      </c>
      <c r="E193" s="17">
        <v>35200</v>
      </c>
      <c r="F193" s="16" t="s">
        <v>138</v>
      </c>
      <c r="G193" s="16" t="s">
        <v>27</v>
      </c>
      <c r="H193" s="18">
        <v>26500</v>
      </c>
      <c r="I193" s="19">
        <v>14500</v>
      </c>
      <c r="J193" s="16">
        <v>15</v>
      </c>
      <c r="K193" s="16" t="str">
        <f t="shared" si="9"/>
        <v>Médio</v>
      </c>
      <c r="L193" s="16" t="s">
        <v>14</v>
      </c>
      <c r="M193" s="19">
        <v>39000</v>
      </c>
      <c r="N193" s="16" t="str">
        <f t="shared" si="12"/>
        <v>Aprovado</v>
      </c>
      <c r="O193" s="16" t="str">
        <f t="shared" si="10"/>
        <v>Aprovado</v>
      </c>
      <c r="P193" s="29">
        <f t="shared" si="11"/>
        <v>0</v>
      </c>
    </row>
    <row r="194" spans="1:16" x14ac:dyDescent="0.3">
      <c r="A194" s="20" t="s">
        <v>171</v>
      </c>
      <c r="B194" s="16" t="s">
        <v>329</v>
      </c>
      <c r="C194" s="44">
        <v>6300</v>
      </c>
      <c r="D194" s="20">
        <v>68</v>
      </c>
      <c r="E194" s="17" t="s">
        <v>130</v>
      </c>
      <c r="F194" s="16" t="s">
        <v>139</v>
      </c>
      <c r="G194" s="16" t="s">
        <v>18</v>
      </c>
      <c r="H194" s="18">
        <v>19900</v>
      </c>
      <c r="I194" s="19">
        <v>35000</v>
      </c>
      <c r="J194" s="16">
        <v>25</v>
      </c>
      <c r="K194" s="16" t="str">
        <f t="shared" ref="K194:K257" si="13">IF(J194&gt;25,"Alto", IF(J194&lt;=10,"Baixo","Médio"))</f>
        <v>Médio</v>
      </c>
      <c r="L194" s="16" t="s">
        <v>14</v>
      </c>
      <c r="M194" s="19">
        <v>59500</v>
      </c>
      <c r="N194" s="16" t="str">
        <f t="shared" si="12"/>
        <v>Aprovado</v>
      </c>
      <c r="O194" s="16" t="str">
        <f t="shared" ref="O194:O257" si="14">IF(AND(I194&gt;50000,L194="Sim"),"Negado","Aprovado")</f>
        <v>Aprovado</v>
      </c>
      <c r="P194" s="29">
        <f t="shared" ref="P194:P257" si="15">IF(AND(N194="Negado",O194="Negado"),0, IF(A194="Ativo",M194*8%,0))</f>
        <v>4760</v>
      </c>
    </row>
    <row r="195" spans="1:16" x14ac:dyDescent="0.3">
      <c r="A195" s="20" t="s">
        <v>171</v>
      </c>
      <c r="B195" s="16" t="s">
        <v>330</v>
      </c>
      <c r="C195" s="44">
        <v>28300</v>
      </c>
      <c r="D195" s="20">
        <v>27</v>
      </c>
      <c r="E195" s="17">
        <v>36308</v>
      </c>
      <c r="F195" s="16" t="s">
        <v>157</v>
      </c>
      <c r="G195" s="16" t="s">
        <v>16</v>
      </c>
      <c r="H195" s="18">
        <v>5300</v>
      </c>
      <c r="I195" s="19">
        <v>22000</v>
      </c>
      <c r="J195" s="16">
        <v>11</v>
      </c>
      <c r="K195" s="16" t="str">
        <f t="shared" si="13"/>
        <v>Médio</v>
      </c>
      <c r="L195" s="16" t="s">
        <v>14</v>
      </c>
      <c r="M195" s="19">
        <v>28500</v>
      </c>
      <c r="N195" s="16" t="str">
        <f t="shared" si="12"/>
        <v>Aprovado</v>
      </c>
      <c r="O195" s="16" t="str">
        <f t="shared" si="14"/>
        <v>Aprovado</v>
      </c>
      <c r="P195" s="29">
        <f t="shared" si="15"/>
        <v>2280</v>
      </c>
    </row>
    <row r="196" spans="1:16" x14ac:dyDescent="0.3">
      <c r="A196" s="20" t="s">
        <v>171</v>
      </c>
      <c r="B196" s="16" t="s">
        <v>330</v>
      </c>
      <c r="C196" s="44">
        <v>28300</v>
      </c>
      <c r="D196" s="20">
        <v>27</v>
      </c>
      <c r="E196" s="17">
        <v>36308</v>
      </c>
      <c r="F196" s="16" t="s">
        <v>157</v>
      </c>
      <c r="G196" s="16" t="s">
        <v>16</v>
      </c>
      <c r="H196" s="18">
        <v>5300</v>
      </c>
      <c r="I196" s="19">
        <v>22000</v>
      </c>
      <c r="J196" s="16">
        <v>11</v>
      </c>
      <c r="K196" s="16" t="str">
        <f t="shared" si="13"/>
        <v>Médio</v>
      </c>
      <c r="L196" s="16" t="s">
        <v>14</v>
      </c>
      <c r="M196" s="19">
        <v>4500</v>
      </c>
      <c r="N196" s="16" t="str">
        <f t="shared" si="12"/>
        <v>Aprovado</v>
      </c>
      <c r="O196" s="16" t="str">
        <f t="shared" si="14"/>
        <v>Aprovado</v>
      </c>
      <c r="P196" s="29">
        <f t="shared" si="15"/>
        <v>360</v>
      </c>
    </row>
    <row r="197" spans="1:16" x14ac:dyDescent="0.3">
      <c r="A197" s="20" t="s">
        <v>171</v>
      </c>
      <c r="B197" s="16" t="s">
        <v>331</v>
      </c>
      <c r="C197" s="44">
        <v>4100</v>
      </c>
      <c r="D197" s="20">
        <v>69</v>
      </c>
      <c r="E197" s="17" t="s">
        <v>130</v>
      </c>
      <c r="F197" s="16" t="s">
        <v>138</v>
      </c>
      <c r="G197" s="16" t="s">
        <v>27</v>
      </c>
      <c r="H197" s="18">
        <v>4500</v>
      </c>
      <c r="I197" s="19">
        <v>0</v>
      </c>
      <c r="J197" s="16">
        <v>32</v>
      </c>
      <c r="K197" s="16" t="str">
        <f t="shared" si="13"/>
        <v>Alto</v>
      </c>
      <c r="L197" s="16" t="s">
        <v>13</v>
      </c>
      <c r="M197" s="19">
        <v>56500</v>
      </c>
      <c r="N197" s="16" t="str">
        <f t="shared" si="12"/>
        <v>Negado</v>
      </c>
      <c r="O197" s="16" t="str">
        <f t="shared" si="14"/>
        <v>Aprovado</v>
      </c>
      <c r="P197" s="29">
        <f t="shared" si="15"/>
        <v>4520</v>
      </c>
    </row>
    <row r="198" spans="1:16" x14ac:dyDescent="0.3">
      <c r="A198" s="20" t="s">
        <v>171</v>
      </c>
      <c r="B198" s="16" t="s">
        <v>332</v>
      </c>
      <c r="C198" s="44">
        <v>2300</v>
      </c>
      <c r="D198" s="20">
        <v>45</v>
      </c>
      <c r="E198" s="17">
        <v>29769</v>
      </c>
      <c r="F198" s="16" t="s">
        <v>150</v>
      </c>
      <c r="G198" s="16" t="s">
        <v>15</v>
      </c>
      <c r="H198" s="18">
        <v>24400</v>
      </c>
      <c r="I198" s="19">
        <v>7500</v>
      </c>
      <c r="J198" s="16">
        <v>13</v>
      </c>
      <c r="K198" s="16" t="str">
        <f t="shared" si="13"/>
        <v>Médio</v>
      </c>
      <c r="L198" s="16" t="s">
        <v>14</v>
      </c>
      <c r="M198" s="19">
        <v>95000</v>
      </c>
      <c r="N198" s="16" t="str">
        <f t="shared" si="12"/>
        <v>Aprovado</v>
      </c>
      <c r="O198" s="16" t="str">
        <f t="shared" si="14"/>
        <v>Aprovado</v>
      </c>
      <c r="P198" s="29">
        <f t="shared" si="15"/>
        <v>7600</v>
      </c>
    </row>
    <row r="199" spans="1:16" x14ac:dyDescent="0.3">
      <c r="A199" s="20" t="s">
        <v>171</v>
      </c>
      <c r="B199" s="16" t="s">
        <v>333</v>
      </c>
      <c r="C199" s="44">
        <v>18000</v>
      </c>
      <c r="D199" s="20">
        <v>29</v>
      </c>
      <c r="E199" s="17">
        <v>35344</v>
      </c>
      <c r="F199" s="16" t="s">
        <v>137</v>
      </c>
      <c r="G199" s="16" t="s">
        <v>36</v>
      </c>
      <c r="H199" s="18">
        <v>19900</v>
      </c>
      <c r="I199" s="19">
        <v>49500</v>
      </c>
      <c r="J199" s="16">
        <v>27</v>
      </c>
      <c r="K199" s="16" t="str">
        <f t="shared" si="13"/>
        <v>Alto</v>
      </c>
      <c r="L199" s="16" t="s">
        <v>13</v>
      </c>
      <c r="M199" s="19">
        <v>23000</v>
      </c>
      <c r="N199" s="16" t="str">
        <f t="shared" si="12"/>
        <v>Negado</v>
      </c>
      <c r="O199" s="16" t="str">
        <f t="shared" si="14"/>
        <v>Aprovado</v>
      </c>
      <c r="P199" s="29">
        <f t="shared" si="15"/>
        <v>1840</v>
      </c>
    </row>
    <row r="200" spans="1:16" x14ac:dyDescent="0.3">
      <c r="A200" s="20" t="s">
        <v>171</v>
      </c>
      <c r="B200" s="16" t="s">
        <v>334</v>
      </c>
      <c r="C200" s="44">
        <v>23200</v>
      </c>
      <c r="D200" s="20">
        <v>28</v>
      </c>
      <c r="E200" s="17" t="s">
        <v>130</v>
      </c>
      <c r="F200" s="16" t="s">
        <v>138</v>
      </c>
      <c r="G200" s="16" t="s">
        <v>27</v>
      </c>
      <c r="H200" s="18">
        <v>14500</v>
      </c>
      <c r="I200" s="19">
        <v>39500</v>
      </c>
      <c r="J200" s="16">
        <v>18</v>
      </c>
      <c r="K200" s="16" t="str">
        <f t="shared" si="13"/>
        <v>Médio</v>
      </c>
      <c r="L200" s="16" t="s">
        <v>14</v>
      </c>
      <c r="M200" s="19">
        <v>32000</v>
      </c>
      <c r="N200" s="16" t="str">
        <f t="shared" si="12"/>
        <v>Aprovado</v>
      </c>
      <c r="O200" s="16" t="str">
        <f t="shared" si="14"/>
        <v>Aprovado</v>
      </c>
      <c r="P200" s="29">
        <f t="shared" si="15"/>
        <v>2560</v>
      </c>
    </row>
    <row r="201" spans="1:16" x14ac:dyDescent="0.3">
      <c r="A201" s="20" t="s">
        <v>172</v>
      </c>
      <c r="B201" s="16" t="s">
        <v>45</v>
      </c>
      <c r="C201" s="44">
        <v>34500</v>
      </c>
      <c r="D201" s="20">
        <v>73</v>
      </c>
      <c r="E201" s="17" t="s">
        <v>130</v>
      </c>
      <c r="F201" s="16" t="s">
        <v>135</v>
      </c>
      <c r="G201" s="16" t="s">
        <v>17</v>
      </c>
      <c r="H201" s="18">
        <v>19900</v>
      </c>
      <c r="I201" s="19">
        <v>47000</v>
      </c>
      <c r="J201" s="16">
        <v>19</v>
      </c>
      <c r="K201" s="16" t="str">
        <f t="shared" si="13"/>
        <v>Médio</v>
      </c>
      <c r="L201" s="16" t="s">
        <v>14</v>
      </c>
      <c r="M201" s="19">
        <v>20500</v>
      </c>
      <c r="N201" s="16" t="str">
        <f t="shared" si="12"/>
        <v>Aprovado</v>
      </c>
      <c r="O201" s="16" t="str">
        <f t="shared" si="14"/>
        <v>Aprovado</v>
      </c>
      <c r="P201" s="29">
        <f t="shared" si="15"/>
        <v>0</v>
      </c>
    </row>
    <row r="202" spans="1:16" x14ac:dyDescent="0.3">
      <c r="A202" s="20" t="s">
        <v>171</v>
      </c>
      <c r="B202" s="16" t="s">
        <v>335</v>
      </c>
      <c r="C202" s="44">
        <v>0</v>
      </c>
      <c r="D202" s="20">
        <v>44</v>
      </c>
      <c r="E202" s="17">
        <v>29991</v>
      </c>
      <c r="F202" s="16" t="s">
        <v>144</v>
      </c>
      <c r="G202" s="16" t="s">
        <v>130</v>
      </c>
      <c r="H202" s="18">
        <v>6700</v>
      </c>
      <c r="I202" s="19">
        <v>16500</v>
      </c>
      <c r="J202" s="16">
        <v>38</v>
      </c>
      <c r="K202" s="16" t="str">
        <f t="shared" si="13"/>
        <v>Alto</v>
      </c>
      <c r="L202" s="16" t="s">
        <v>13</v>
      </c>
      <c r="M202" s="19">
        <v>15500</v>
      </c>
      <c r="N202" s="16" t="str">
        <f t="shared" si="12"/>
        <v>Negado</v>
      </c>
      <c r="O202" s="16" t="str">
        <f t="shared" si="14"/>
        <v>Aprovado</v>
      </c>
      <c r="P202" s="29">
        <f t="shared" si="15"/>
        <v>1240</v>
      </c>
    </row>
    <row r="203" spans="1:16" x14ac:dyDescent="0.3">
      <c r="A203" s="20" t="s">
        <v>171</v>
      </c>
      <c r="B203" s="16" t="s">
        <v>336</v>
      </c>
      <c r="C203" s="44">
        <v>15100</v>
      </c>
      <c r="D203" s="20">
        <v>25</v>
      </c>
      <c r="E203" s="17">
        <v>37125</v>
      </c>
      <c r="F203" s="16" t="s">
        <v>21</v>
      </c>
      <c r="G203" s="16" t="s">
        <v>21</v>
      </c>
      <c r="H203" s="18">
        <v>2500</v>
      </c>
      <c r="I203" s="19">
        <v>72500</v>
      </c>
      <c r="J203" s="16">
        <v>32</v>
      </c>
      <c r="K203" s="16" t="str">
        <f t="shared" si="13"/>
        <v>Alto</v>
      </c>
      <c r="L203" s="16" t="s">
        <v>14</v>
      </c>
      <c r="M203" s="19">
        <v>97000</v>
      </c>
      <c r="N203" s="16" t="str">
        <f t="shared" si="12"/>
        <v>Aprovado</v>
      </c>
      <c r="O203" s="16" t="str">
        <f t="shared" si="14"/>
        <v>Aprovado</v>
      </c>
      <c r="P203" s="29">
        <f t="shared" si="15"/>
        <v>7760</v>
      </c>
    </row>
    <row r="204" spans="1:16" x14ac:dyDescent="0.3">
      <c r="A204" s="20" t="s">
        <v>172</v>
      </c>
      <c r="B204" s="16" t="s">
        <v>337</v>
      </c>
      <c r="C204" s="44">
        <v>21100</v>
      </c>
      <c r="D204" s="20">
        <v>31</v>
      </c>
      <c r="E204" s="17">
        <v>34738</v>
      </c>
      <c r="F204" s="16" t="s">
        <v>142</v>
      </c>
      <c r="G204" s="16" t="s">
        <v>23</v>
      </c>
      <c r="H204" s="18">
        <v>22600</v>
      </c>
      <c r="I204" s="19">
        <v>58000</v>
      </c>
      <c r="J204" s="16">
        <v>5</v>
      </c>
      <c r="K204" s="16" t="str">
        <f t="shared" si="13"/>
        <v>Baixo</v>
      </c>
      <c r="L204" s="16" t="s">
        <v>14</v>
      </c>
      <c r="M204" s="19">
        <v>26500</v>
      </c>
      <c r="N204" s="16" t="str">
        <f t="shared" si="12"/>
        <v>Aprovado</v>
      </c>
      <c r="O204" s="16" t="str">
        <f t="shared" si="14"/>
        <v>Aprovado</v>
      </c>
      <c r="P204" s="29">
        <f t="shared" si="15"/>
        <v>0</v>
      </c>
    </row>
    <row r="205" spans="1:16" x14ac:dyDescent="0.3">
      <c r="A205" s="20" t="s">
        <v>171</v>
      </c>
      <c r="B205" s="16" t="s">
        <v>338</v>
      </c>
      <c r="C205" s="44">
        <v>27600</v>
      </c>
      <c r="D205" s="20">
        <v>36</v>
      </c>
      <c r="E205" s="17">
        <v>32791</v>
      </c>
      <c r="F205" s="16" t="s">
        <v>132</v>
      </c>
      <c r="G205" s="16" t="s">
        <v>23</v>
      </c>
      <c r="H205" s="18">
        <v>23900</v>
      </c>
      <c r="I205" s="19">
        <v>58000</v>
      </c>
      <c r="J205" s="16">
        <v>27</v>
      </c>
      <c r="K205" s="16" t="str">
        <f t="shared" si="13"/>
        <v>Alto</v>
      </c>
      <c r="L205" s="16" t="s">
        <v>14</v>
      </c>
      <c r="M205" s="19">
        <v>38000</v>
      </c>
      <c r="N205" s="16" t="str">
        <f t="shared" si="12"/>
        <v>Aprovado</v>
      </c>
      <c r="O205" s="16" t="str">
        <f t="shared" si="14"/>
        <v>Aprovado</v>
      </c>
      <c r="P205" s="29">
        <f t="shared" si="15"/>
        <v>3040</v>
      </c>
    </row>
    <row r="206" spans="1:16" x14ac:dyDescent="0.3">
      <c r="A206" s="20" t="s">
        <v>172</v>
      </c>
      <c r="B206" s="16" t="s">
        <v>43</v>
      </c>
      <c r="C206" s="44">
        <v>0</v>
      </c>
      <c r="D206" s="20">
        <v>50</v>
      </c>
      <c r="E206" s="17">
        <v>27833</v>
      </c>
      <c r="F206" s="16" t="s">
        <v>157</v>
      </c>
      <c r="G206" s="16" t="s">
        <v>16</v>
      </c>
      <c r="H206" s="18">
        <v>16200</v>
      </c>
      <c r="I206" s="19">
        <v>25000</v>
      </c>
      <c r="J206" s="16">
        <v>26</v>
      </c>
      <c r="K206" s="16" t="str">
        <f t="shared" si="13"/>
        <v>Alto</v>
      </c>
      <c r="L206" s="16" t="s">
        <v>14</v>
      </c>
      <c r="M206" s="19">
        <v>65000</v>
      </c>
      <c r="N206" s="16" t="str">
        <f t="shared" si="12"/>
        <v>Aprovado</v>
      </c>
      <c r="O206" s="16" t="str">
        <f t="shared" si="14"/>
        <v>Aprovado</v>
      </c>
      <c r="P206" s="29">
        <f t="shared" si="15"/>
        <v>0</v>
      </c>
    </row>
    <row r="207" spans="1:16" x14ac:dyDescent="0.3">
      <c r="A207" s="20" t="s">
        <v>171</v>
      </c>
      <c r="B207" s="16" t="s">
        <v>339</v>
      </c>
      <c r="C207" s="44">
        <v>22200</v>
      </c>
      <c r="D207" s="20">
        <v>63</v>
      </c>
      <c r="E207" s="17">
        <v>23231</v>
      </c>
      <c r="F207" s="16" t="s">
        <v>153</v>
      </c>
      <c r="G207" s="16" t="s">
        <v>17</v>
      </c>
      <c r="H207" s="18">
        <v>16800</v>
      </c>
      <c r="I207" s="19">
        <v>0</v>
      </c>
      <c r="J207" s="16">
        <v>32</v>
      </c>
      <c r="K207" s="16" t="str">
        <f t="shared" si="13"/>
        <v>Alto</v>
      </c>
      <c r="L207" s="16" t="s">
        <v>62</v>
      </c>
      <c r="M207" s="19">
        <v>61500</v>
      </c>
      <c r="N207" s="16" t="str">
        <f t="shared" si="12"/>
        <v>Aprovado</v>
      </c>
      <c r="O207" s="16" t="str">
        <f t="shared" si="14"/>
        <v>Aprovado</v>
      </c>
      <c r="P207" s="29">
        <f t="shared" si="15"/>
        <v>4920</v>
      </c>
    </row>
    <row r="208" spans="1:16" x14ac:dyDescent="0.3">
      <c r="A208" s="20" t="s">
        <v>171</v>
      </c>
      <c r="B208" s="16" t="s">
        <v>340</v>
      </c>
      <c r="C208" s="44">
        <v>14600</v>
      </c>
      <c r="D208" s="20">
        <v>22</v>
      </c>
      <c r="E208" s="17">
        <v>38079</v>
      </c>
      <c r="F208" s="16" t="s">
        <v>150</v>
      </c>
      <c r="G208" s="16" t="s">
        <v>15</v>
      </c>
      <c r="H208" s="18">
        <v>9200</v>
      </c>
      <c r="I208" s="19">
        <v>5000</v>
      </c>
      <c r="J208" s="16">
        <v>42</v>
      </c>
      <c r="K208" s="16" t="str">
        <f t="shared" si="13"/>
        <v>Alto</v>
      </c>
      <c r="L208" s="16" t="s">
        <v>14</v>
      </c>
      <c r="M208" s="19">
        <v>63500</v>
      </c>
      <c r="N208" s="16" t="str">
        <f t="shared" si="12"/>
        <v>Aprovado</v>
      </c>
      <c r="O208" s="16" t="str">
        <f t="shared" si="14"/>
        <v>Aprovado</v>
      </c>
      <c r="P208" s="29">
        <f t="shared" si="15"/>
        <v>5080</v>
      </c>
    </row>
    <row r="209" spans="1:16" x14ac:dyDescent="0.3">
      <c r="A209" s="20" t="s">
        <v>171</v>
      </c>
      <c r="B209" s="16" t="s">
        <v>341</v>
      </c>
      <c r="C209" s="44">
        <v>1800</v>
      </c>
      <c r="D209" s="20">
        <v>26</v>
      </c>
      <c r="E209" s="17">
        <v>36757</v>
      </c>
      <c r="F209" s="16" t="s">
        <v>154</v>
      </c>
      <c r="G209" s="16" t="s">
        <v>23</v>
      </c>
      <c r="H209" s="19">
        <v>18400</v>
      </c>
      <c r="I209" s="19">
        <v>0</v>
      </c>
      <c r="J209" s="16">
        <v>31</v>
      </c>
      <c r="K209" s="16" t="str">
        <f t="shared" si="13"/>
        <v>Alto</v>
      </c>
      <c r="L209" s="16" t="s">
        <v>13</v>
      </c>
      <c r="M209" s="19">
        <v>89500</v>
      </c>
      <c r="N209" s="16" t="str">
        <f t="shared" si="12"/>
        <v>Negado</v>
      </c>
      <c r="O209" s="16" t="str">
        <f t="shared" si="14"/>
        <v>Aprovado</v>
      </c>
      <c r="P209" s="29">
        <f t="shared" si="15"/>
        <v>7160</v>
      </c>
    </row>
    <row r="210" spans="1:16" x14ac:dyDescent="0.3">
      <c r="A210" s="20" t="s">
        <v>171</v>
      </c>
      <c r="B210" s="16" t="s">
        <v>342</v>
      </c>
      <c r="C210" s="44">
        <v>27400</v>
      </c>
      <c r="D210" s="20">
        <v>34</v>
      </c>
      <c r="E210" s="17">
        <v>33624</v>
      </c>
      <c r="F210" s="16" t="s">
        <v>136</v>
      </c>
      <c r="G210" s="16" t="s">
        <v>28</v>
      </c>
      <c r="H210" s="18">
        <v>8000</v>
      </c>
      <c r="I210" s="19">
        <v>14500</v>
      </c>
      <c r="J210" s="16">
        <v>9</v>
      </c>
      <c r="K210" s="16" t="str">
        <f t="shared" si="13"/>
        <v>Baixo</v>
      </c>
      <c r="L210" s="16" t="s">
        <v>13</v>
      </c>
      <c r="M210" s="19">
        <v>17500</v>
      </c>
      <c r="N210" s="16" t="str">
        <f t="shared" si="12"/>
        <v>Aprovado</v>
      </c>
      <c r="O210" s="16" t="str">
        <f t="shared" si="14"/>
        <v>Aprovado</v>
      </c>
      <c r="P210" s="29">
        <f t="shared" si="15"/>
        <v>1400</v>
      </c>
    </row>
    <row r="211" spans="1:16" x14ac:dyDescent="0.3">
      <c r="A211" s="20" t="s">
        <v>172</v>
      </c>
      <c r="B211" s="16" t="s">
        <v>343</v>
      </c>
      <c r="C211" s="44">
        <v>10700</v>
      </c>
      <c r="D211" s="20">
        <v>31</v>
      </c>
      <c r="E211" s="17">
        <v>34824</v>
      </c>
      <c r="F211" s="16" t="s">
        <v>134</v>
      </c>
      <c r="G211" s="16" t="s">
        <v>15</v>
      </c>
      <c r="H211" s="18">
        <v>29500</v>
      </c>
      <c r="I211" s="19">
        <v>5000</v>
      </c>
      <c r="J211" s="16">
        <v>22</v>
      </c>
      <c r="K211" s="16" t="str">
        <f t="shared" si="13"/>
        <v>Médio</v>
      </c>
      <c r="L211" s="16" t="s">
        <v>14</v>
      </c>
      <c r="M211" s="19">
        <v>18000</v>
      </c>
      <c r="N211" s="16" t="str">
        <f t="shared" si="12"/>
        <v>Aprovado</v>
      </c>
      <c r="O211" s="16" t="str">
        <f t="shared" si="14"/>
        <v>Aprovado</v>
      </c>
      <c r="P211" s="29">
        <f t="shared" si="15"/>
        <v>0</v>
      </c>
    </row>
    <row r="212" spans="1:16" x14ac:dyDescent="0.3">
      <c r="A212" s="20" t="s">
        <v>171</v>
      </c>
      <c r="B212" s="16" t="s">
        <v>344</v>
      </c>
      <c r="C212" s="44">
        <v>12100</v>
      </c>
      <c r="D212" s="20">
        <v>58</v>
      </c>
      <c r="E212" s="17" t="s">
        <v>58</v>
      </c>
      <c r="F212" s="16" t="s">
        <v>137</v>
      </c>
      <c r="G212" s="16" t="s">
        <v>36</v>
      </c>
      <c r="H212" s="19">
        <v>22200</v>
      </c>
      <c r="I212" s="19">
        <v>0</v>
      </c>
      <c r="J212" s="16">
        <v>42</v>
      </c>
      <c r="K212" s="16" t="str">
        <f t="shared" si="13"/>
        <v>Alto</v>
      </c>
      <c r="L212" s="16" t="s">
        <v>14</v>
      </c>
      <c r="M212" s="19">
        <v>33000</v>
      </c>
      <c r="N212" s="16" t="str">
        <f t="shared" si="12"/>
        <v>Aprovado</v>
      </c>
      <c r="O212" s="16" t="str">
        <f t="shared" si="14"/>
        <v>Aprovado</v>
      </c>
      <c r="P212" s="29">
        <f t="shared" si="15"/>
        <v>2640</v>
      </c>
    </row>
    <row r="213" spans="1:16" x14ac:dyDescent="0.3">
      <c r="A213" s="20" t="s">
        <v>62</v>
      </c>
      <c r="B213" s="16" t="s">
        <v>20</v>
      </c>
      <c r="C213" s="44">
        <v>13100</v>
      </c>
      <c r="D213" s="20">
        <v>63</v>
      </c>
      <c r="E213" s="17">
        <v>22974</v>
      </c>
      <c r="F213" s="16" t="s">
        <v>21</v>
      </c>
      <c r="G213" s="16" t="s">
        <v>21</v>
      </c>
      <c r="H213" s="18">
        <v>14700</v>
      </c>
      <c r="I213" s="19">
        <v>0</v>
      </c>
      <c r="J213" s="16">
        <v>40</v>
      </c>
      <c r="K213" s="16" t="str">
        <f t="shared" si="13"/>
        <v>Alto</v>
      </c>
      <c r="L213" s="16" t="s">
        <v>13</v>
      </c>
      <c r="M213" s="19">
        <v>83500</v>
      </c>
      <c r="N213" s="16" t="str">
        <f t="shared" ref="N213:N276" si="16">IF(AND(K213="Alto",L213="Sim"),"Negado","Aprovado")</f>
        <v>Negado</v>
      </c>
      <c r="O213" s="16" t="str">
        <f t="shared" si="14"/>
        <v>Aprovado</v>
      </c>
      <c r="P213" s="29">
        <f t="shared" si="15"/>
        <v>0</v>
      </c>
    </row>
    <row r="214" spans="1:16" x14ac:dyDescent="0.3">
      <c r="A214" s="20" t="s">
        <v>171</v>
      </c>
      <c r="B214" s="16" t="s">
        <v>345</v>
      </c>
      <c r="C214" s="44">
        <v>31400</v>
      </c>
      <c r="D214" s="20">
        <v>53</v>
      </c>
      <c r="E214" s="17">
        <v>26584</v>
      </c>
      <c r="F214" s="16" t="s">
        <v>143</v>
      </c>
      <c r="G214" s="16" t="s">
        <v>17</v>
      </c>
      <c r="H214" s="18">
        <v>12200</v>
      </c>
      <c r="I214" s="19">
        <v>79500</v>
      </c>
      <c r="J214" s="16">
        <v>45</v>
      </c>
      <c r="K214" s="16" t="str">
        <f t="shared" si="13"/>
        <v>Alto</v>
      </c>
      <c r="L214" s="16" t="s">
        <v>14</v>
      </c>
      <c r="M214" s="19">
        <v>57000</v>
      </c>
      <c r="N214" s="16" t="str">
        <f t="shared" si="16"/>
        <v>Aprovado</v>
      </c>
      <c r="O214" s="16" t="str">
        <f t="shared" si="14"/>
        <v>Aprovado</v>
      </c>
      <c r="P214" s="29">
        <f t="shared" si="15"/>
        <v>4560</v>
      </c>
    </row>
    <row r="215" spans="1:16" x14ac:dyDescent="0.3">
      <c r="A215" s="20" t="s">
        <v>171</v>
      </c>
      <c r="B215" s="16" t="s">
        <v>345</v>
      </c>
      <c r="C215" s="44">
        <v>31400</v>
      </c>
      <c r="D215" s="20">
        <v>53</v>
      </c>
      <c r="E215" s="17">
        <v>26584</v>
      </c>
      <c r="F215" s="16" t="s">
        <v>143</v>
      </c>
      <c r="G215" s="16" t="s">
        <v>17</v>
      </c>
      <c r="H215" s="18">
        <v>12200</v>
      </c>
      <c r="I215" s="19">
        <v>79500</v>
      </c>
      <c r="J215" s="16">
        <v>45</v>
      </c>
      <c r="K215" s="16" t="str">
        <f t="shared" si="13"/>
        <v>Alto</v>
      </c>
      <c r="L215" s="16" t="s">
        <v>14</v>
      </c>
      <c r="M215" s="19">
        <v>62000</v>
      </c>
      <c r="N215" s="16" t="str">
        <f t="shared" si="16"/>
        <v>Aprovado</v>
      </c>
      <c r="O215" s="16" t="str">
        <f t="shared" si="14"/>
        <v>Aprovado</v>
      </c>
      <c r="P215" s="29">
        <f t="shared" si="15"/>
        <v>4960</v>
      </c>
    </row>
    <row r="216" spans="1:16" x14ac:dyDescent="0.3">
      <c r="A216" s="20" t="s">
        <v>171</v>
      </c>
      <c r="B216" s="16" t="s">
        <v>346</v>
      </c>
      <c r="C216" s="44">
        <v>32600</v>
      </c>
      <c r="D216" s="20">
        <f ca="1">DATEDIF(E216,TODAY(),"Y")</f>
        <v>74</v>
      </c>
      <c r="E216" s="17">
        <v>19168</v>
      </c>
      <c r="F216" s="16" t="s">
        <v>136</v>
      </c>
      <c r="G216" s="16" t="s">
        <v>28</v>
      </c>
      <c r="H216" s="18">
        <v>25000</v>
      </c>
      <c r="I216" s="19">
        <v>0</v>
      </c>
      <c r="J216" s="16">
        <v>3</v>
      </c>
      <c r="K216" s="16" t="str">
        <f t="shared" si="13"/>
        <v>Baixo</v>
      </c>
      <c r="L216" s="16" t="s">
        <v>14</v>
      </c>
      <c r="M216" s="19">
        <v>2500</v>
      </c>
      <c r="N216" s="16" t="str">
        <f t="shared" si="16"/>
        <v>Aprovado</v>
      </c>
      <c r="O216" s="16" t="str">
        <f t="shared" si="14"/>
        <v>Aprovado</v>
      </c>
      <c r="P216" s="29">
        <f t="shared" si="15"/>
        <v>200</v>
      </c>
    </row>
    <row r="217" spans="1:16" x14ac:dyDescent="0.3">
      <c r="A217" s="20" t="s">
        <v>171</v>
      </c>
      <c r="B217" s="16" t="s">
        <v>347</v>
      </c>
      <c r="C217" s="44">
        <v>15200</v>
      </c>
      <c r="D217" s="20">
        <v>69</v>
      </c>
      <c r="E217" s="17">
        <v>21051</v>
      </c>
      <c r="F217" s="16" t="s">
        <v>150</v>
      </c>
      <c r="G217" s="16" t="s">
        <v>15</v>
      </c>
      <c r="H217" s="18">
        <v>25100</v>
      </c>
      <c r="I217" s="19">
        <v>40500</v>
      </c>
      <c r="J217" s="16">
        <v>43</v>
      </c>
      <c r="K217" s="16" t="str">
        <f t="shared" si="13"/>
        <v>Alto</v>
      </c>
      <c r="L217" s="16" t="s">
        <v>14</v>
      </c>
      <c r="M217" s="19">
        <v>24500</v>
      </c>
      <c r="N217" s="16" t="str">
        <f t="shared" si="16"/>
        <v>Aprovado</v>
      </c>
      <c r="O217" s="16" t="str">
        <f t="shared" si="14"/>
        <v>Aprovado</v>
      </c>
      <c r="P217" s="29">
        <f t="shared" si="15"/>
        <v>1960</v>
      </c>
    </row>
    <row r="218" spans="1:16" x14ac:dyDescent="0.3">
      <c r="A218" s="20" t="s">
        <v>171</v>
      </c>
      <c r="B218" s="16" t="s">
        <v>22</v>
      </c>
      <c r="C218" s="44">
        <v>36400</v>
      </c>
      <c r="D218" s="20">
        <v>22</v>
      </c>
      <c r="E218" s="17" t="s">
        <v>130</v>
      </c>
      <c r="F218" s="16" t="s">
        <v>133</v>
      </c>
      <c r="G218" s="16" t="s">
        <v>27</v>
      </c>
      <c r="H218" s="18">
        <v>14400</v>
      </c>
      <c r="I218" s="19">
        <v>0</v>
      </c>
      <c r="J218" s="16">
        <v>27</v>
      </c>
      <c r="K218" s="16" t="str">
        <f t="shared" si="13"/>
        <v>Alto</v>
      </c>
      <c r="L218" s="16" t="s">
        <v>14</v>
      </c>
      <c r="M218" s="19">
        <v>33500</v>
      </c>
      <c r="N218" s="16" t="str">
        <f t="shared" si="16"/>
        <v>Aprovado</v>
      </c>
      <c r="O218" s="16" t="str">
        <f t="shared" si="14"/>
        <v>Aprovado</v>
      </c>
      <c r="P218" s="29">
        <f t="shared" si="15"/>
        <v>2680</v>
      </c>
    </row>
    <row r="219" spans="1:16" x14ac:dyDescent="0.3">
      <c r="A219" s="20" t="s">
        <v>172</v>
      </c>
      <c r="B219" s="16" t="s">
        <v>22</v>
      </c>
      <c r="C219" s="44">
        <v>2000</v>
      </c>
      <c r="D219" s="20">
        <v>58</v>
      </c>
      <c r="E219" s="17">
        <v>25054</v>
      </c>
      <c r="F219" s="16" t="s">
        <v>144</v>
      </c>
      <c r="G219" s="16" t="s">
        <v>18</v>
      </c>
      <c r="H219" s="18">
        <v>4500</v>
      </c>
      <c r="I219" s="19">
        <v>20000</v>
      </c>
      <c r="J219" s="16">
        <v>9</v>
      </c>
      <c r="K219" s="16" t="str">
        <f t="shared" si="13"/>
        <v>Baixo</v>
      </c>
      <c r="L219" s="16" t="s">
        <v>13</v>
      </c>
      <c r="M219" s="19">
        <v>49000</v>
      </c>
      <c r="N219" s="16" t="str">
        <f t="shared" si="16"/>
        <v>Aprovado</v>
      </c>
      <c r="O219" s="16" t="str">
        <f t="shared" si="14"/>
        <v>Aprovado</v>
      </c>
      <c r="P219" s="29">
        <f t="shared" si="15"/>
        <v>0</v>
      </c>
    </row>
    <row r="220" spans="1:16" x14ac:dyDescent="0.3">
      <c r="A220" s="20" t="s">
        <v>171</v>
      </c>
      <c r="B220" s="16" t="s">
        <v>348</v>
      </c>
      <c r="C220" s="44">
        <v>5100</v>
      </c>
      <c r="D220" s="20">
        <v>40</v>
      </c>
      <c r="E220" s="17">
        <v>31647</v>
      </c>
      <c r="F220" s="16" t="s">
        <v>143</v>
      </c>
      <c r="G220" s="16" t="s">
        <v>17</v>
      </c>
      <c r="H220" s="18">
        <v>18700</v>
      </c>
      <c r="I220" s="19">
        <v>15000</v>
      </c>
      <c r="J220" s="16">
        <v>26</v>
      </c>
      <c r="K220" s="16" t="str">
        <f t="shared" si="13"/>
        <v>Alto</v>
      </c>
      <c r="L220" s="16" t="s">
        <v>62</v>
      </c>
      <c r="M220" s="19">
        <v>89500</v>
      </c>
      <c r="N220" s="16" t="str">
        <f t="shared" si="16"/>
        <v>Aprovado</v>
      </c>
      <c r="O220" s="16" t="str">
        <f t="shared" si="14"/>
        <v>Aprovado</v>
      </c>
      <c r="P220" s="29">
        <f t="shared" si="15"/>
        <v>7160</v>
      </c>
    </row>
    <row r="221" spans="1:16" x14ac:dyDescent="0.3">
      <c r="A221" s="20" t="s">
        <v>171</v>
      </c>
      <c r="B221" s="16" t="s">
        <v>349</v>
      </c>
      <c r="C221" s="44">
        <v>12000</v>
      </c>
      <c r="D221" s="20">
        <v>29</v>
      </c>
      <c r="E221" s="17">
        <v>35392</v>
      </c>
      <c r="F221" s="16" t="s">
        <v>148</v>
      </c>
      <c r="G221" s="16" t="s">
        <v>130</v>
      </c>
      <c r="H221" s="18">
        <v>6400</v>
      </c>
      <c r="I221" s="19">
        <v>19500</v>
      </c>
      <c r="J221" s="16">
        <v>30</v>
      </c>
      <c r="K221" s="16" t="str">
        <f t="shared" si="13"/>
        <v>Alto</v>
      </c>
      <c r="L221" s="16" t="s">
        <v>14</v>
      </c>
      <c r="M221" s="19">
        <v>51000</v>
      </c>
      <c r="N221" s="16" t="str">
        <f t="shared" si="16"/>
        <v>Aprovado</v>
      </c>
      <c r="O221" s="16" t="str">
        <f t="shared" si="14"/>
        <v>Aprovado</v>
      </c>
      <c r="P221" s="29">
        <f t="shared" si="15"/>
        <v>4080</v>
      </c>
    </row>
    <row r="222" spans="1:16" x14ac:dyDescent="0.3">
      <c r="A222" s="20" t="s">
        <v>172</v>
      </c>
      <c r="B222" s="16" t="s">
        <v>350</v>
      </c>
      <c r="C222" s="44">
        <v>23100</v>
      </c>
      <c r="D222" s="20">
        <v>53</v>
      </c>
      <c r="E222" s="17">
        <v>26629</v>
      </c>
      <c r="F222" s="16" t="s">
        <v>140</v>
      </c>
      <c r="G222" s="16" t="s">
        <v>17</v>
      </c>
      <c r="H222" s="18">
        <v>16500</v>
      </c>
      <c r="I222" s="19">
        <v>4000</v>
      </c>
      <c r="J222" s="16">
        <v>14</v>
      </c>
      <c r="K222" s="16" t="str">
        <f t="shared" si="13"/>
        <v>Médio</v>
      </c>
      <c r="L222" s="16" t="s">
        <v>14</v>
      </c>
      <c r="M222" s="19">
        <v>36000</v>
      </c>
      <c r="N222" s="16" t="str">
        <f t="shared" si="16"/>
        <v>Aprovado</v>
      </c>
      <c r="O222" s="16" t="str">
        <f t="shared" si="14"/>
        <v>Aprovado</v>
      </c>
      <c r="P222" s="29">
        <f t="shared" si="15"/>
        <v>0</v>
      </c>
    </row>
    <row r="223" spans="1:16" x14ac:dyDescent="0.3">
      <c r="A223" s="20" t="s">
        <v>171</v>
      </c>
      <c r="B223" s="16" t="s">
        <v>351</v>
      </c>
      <c r="C223" s="44">
        <v>26800</v>
      </c>
      <c r="D223" s="20">
        <v>60</v>
      </c>
      <c r="E223" s="17">
        <v>24100</v>
      </c>
      <c r="F223" s="16" t="s">
        <v>157</v>
      </c>
      <c r="G223" s="16" t="s">
        <v>16</v>
      </c>
      <c r="H223" s="19">
        <v>9700</v>
      </c>
      <c r="I223" s="19">
        <v>61000</v>
      </c>
      <c r="J223" s="16">
        <v>9</v>
      </c>
      <c r="K223" s="16" t="str">
        <f t="shared" si="13"/>
        <v>Baixo</v>
      </c>
      <c r="L223" s="16" t="s">
        <v>13</v>
      </c>
      <c r="M223" s="19">
        <v>88000</v>
      </c>
      <c r="N223" s="16" t="str">
        <f t="shared" si="16"/>
        <v>Aprovado</v>
      </c>
      <c r="O223" s="16" t="str">
        <f t="shared" si="14"/>
        <v>Negado</v>
      </c>
      <c r="P223" s="29">
        <f t="shared" si="15"/>
        <v>7040</v>
      </c>
    </row>
    <row r="224" spans="1:16" x14ac:dyDescent="0.3">
      <c r="A224" s="20" t="s">
        <v>172</v>
      </c>
      <c r="B224" s="16" t="s">
        <v>351</v>
      </c>
      <c r="C224" s="44">
        <v>26000</v>
      </c>
      <c r="D224" s="20">
        <v>31</v>
      </c>
      <c r="E224" s="17">
        <v>34885</v>
      </c>
      <c r="F224" s="16" t="s">
        <v>139</v>
      </c>
      <c r="G224" s="16" t="s">
        <v>18</v>
      </c>
      <c r="H224" s="18">
        <v>16400</v>
      </c>
      <c r="I224" s="19">
        <v>45500</v>
      </c>
      <c r="J224" s="16">
        <v>6</v>
      </c>
      <c r="K224" s="16" t="str">
        <f t="shared" si="13"/>
        <v>Baixo</v>
      </c>
      <c r="L224" s="16" t="s">
        <v>14</v>
      </c>
      <c r="M224" s="19">
        <v>49500</v>
      </c>
      <c r="N224" s="16" t="str">
        <f t="shared" si="16"/>
        <v>Aprovado</v>
      </c>
      <c r="O224" s="16" t="str">
        <f t="shared" si="14"/>
        <v>Aprovado</v>
      </c>
      <c r="P224" s="29">
        <f t="shared" si="15"/>
        <v>0</v>
      </c>
    </row>
    <row r="225" spans="1:16" x14ac:dyDescent="0.3">
      <c r="A225" s="20" t="s">
        <v>171</v>
      </c>
      <c r="B225" s="16" t="s">
        <v>352</v>
      </c>
      <c r="C225" s="44">
        <v>32900</v>
      </c>
      <c r="D225" s="20">
        <v>22</v>
      </c>
      <c r="E225" s="17">
        <v>38204</v>
      </c>
      <c r="F225" s="16" t="s">
        <v>137</v>
      </c>
      <c r="G225" s="16" t="s">
        <v>36</v>
      </c>
      <c r="H225" s="18">
        <v>10500</v>
      </c>
      <c r="I225" s="19">
        <v>50500</v>
      </c>
      <c r="J225" s="16">
        <v>16</v>
      </c>
      <c r="K225" s="16" t="str">
        <f t="shared" si="13"/>
        <v>Médio</v>
      </c>
      <c r="L225" s="16" t="s">
        <v>14</v>
      </c>
      <c r="M225" s="19">
        <v>41500</v>
      </c>
      <c r="N225" s="16" t="str">
        <f t="shared" si="16"/>
        <v>Aprovado</v>
      </c>
      <c r="O225" s="16" t="str">
        <f t="shared" si="14"/>
        <v>Aprovado</v>
      </c>
      <c r="P225" s="29">
        <f t="shared" si="15"/>
        <v>3320</v>
      </c>
    </row>
    <row r="226" spans="1:16" x14ac:dyDescent="0.3">
      <c r="A226" s="20" t="s">
        <v>171</v>
      </c>
      <c r="B226" s="16" t="s">
        <v>31</v>
      </c>
      <c r="C226" s="44">
        <v>17000</v>
      </c>
      <c r="D226" s="20">
        <v>31</v>
      </c>
      <c r="E226" s="17">
        <v>34852</v>
      </c>
      <c r="F226" s="16" t="s">
        <v>147</v>
      </c>
      <c r="G226" s="16" t="s">
        <v>164</v>
      </c>
      <c r="H226" s="18">
        <v>20500</v>
      </c>
      <c r="I226" s="19">
        <v>47500</v>
      </c>
      <c r="J226" s="16">
        <v>11</v>
      </c>
      <c r="K226" s="16" t="str">
        <f t="shared" si="13"/>
        <v>Médio</v>
      </c>
      <c r="L226" s="16" t="s">
        <v>14</v>
      </c>
      <c r="M226" s="19">
        <v>18500</v>
      </c>
      <c r="N226" s="16" t="str">
        <f t="shared" si="16"/>
        <v>Aprovado</v>
      </c>
      <c r="O226" s="16" t="str">
        <f t="shared" si="14"/>
        <v>Aprovado</v>
      </c>
      <c r="P226" s="29">
        <f t="shared" si="15"/>
        <v>1480</v>
      </c>
    </row>
    <row r="227" spans="1:16" x14ac:dyDescent="0.3">
      <c r="A227" s="20" t="s">
        <v>171</v>
      </c>
      <c r="B227" s="16" t="s">
        <v>353</v>
      </c>
      <c r="C227" s="44">
        <v>19600</v>
      </c>
      <c r="D227" s="20">
        <v>58</v>
      </c>
      <c r="E227" s="17">
        <v>24905</v>
      </c>
      <c r="F227" s="16" t="s">
        <v>133</v>
      </c>
      <c r="G227" s="16" t="s">
        <v>27</v>
      </c>
      <c r="H227" s="18">
        <v>12400</v>
      </c>
      <c r="I227" s="19">
        <v>21500</v>
      </c>
      <c r="J227" s="16">
        <v>24</v>
      </c>
      <c r="K227" s="16" t="str">
        <f t="shared" si="13"/>
        <v>Médio</v>
      </c>
      <c r="L227" s="16" t="s">
        <v>13</v>
      </c>
      <c r="M227" s="19">
        <v>80000</v>
      </c>
      <c r="N227" s="16" t="str">
        <f t="shared" si="16"/>
        <v>Aprovado</v>
      </c>
      <c r="O227" s="16" t="str">
        <f t="shared" si="14"/>
        <v>Aprovado</v>
      </c>
      <c r="P227" s="29">
        <f t="shared" si="15"/>
        <v>6400</v>
      </c>
    </row>
    <row r="228" spans="1:16" x14ac:dyDescent="0.3">
      <c r="A228" s="20" t="s">
        <v>171</v>
      </c>
      <c r="B228" s="16" t="s">
        <v>354</v>
      </c>
      <c r="C228" s="44">
        <v>36800</v>
      </c>
      <c r="D228" s="20">
        <v>50</v>
      </c>
      <c r="E228" s="17">
        <v>27729</v>
      </c>
      <c r="F228" s="16" t="s">
        <v>139</v>
      </c>
      <c r="G228" s="16" t="s">
        <v>18</v>
      </c>
      <c r="H228" s="19">
        <v>22800</v>
      </c>
      <c r="I228" s="19">
        <v>70000</v>
      </c>
      <c r="J228" s="16">
        <v>14</v>
      </c>
      <c r="K228" s="16" t="str">
        <f t="shared" si="13"/>
        <v>Médio</v>
      </c>
      <c r="L228" s="16" t="s">
        <v>13</v>
      </c>
      <c r="M228" s="19">
        <v>25500</v>
      </c>
      <c r="N228" s="16" t="str">
        <f t="shared" si="16"/>
        <v>Aprovado</v>
      </c>
      <c r="O228" s="16" t="str">
        <f t="shared" si="14"/>
        <v>Negado</v>
      </c>
      <c r="P228" s="29">
        <f t="shared" si="15"/>
        <v>2040</v>
      </c>
    </row>
    <row r="229" spans="1:16" x14ac:dyDescent="0.3">
      <c r="A229" s="20" t="s">
        <v>171</v>
      </c>
      <c r="B229" s="16" t="s">
        <v>355</v>
      </c>
      <c r="C229" s="44">
        <v>28200</v>
      </c>
      <c r="D229" s="20">
        <v>56</v>
      </c>
      <c r="E229" s="17">
        <v>25671</v>
      </c>
      <c r="F229" s="16" t="s">
        <v>149</v>
      </c>
      <c r="G229" s="16" t="s">
        <v>16</v>
      </c>
      <c r="H229" s="18">
        <v>28300</v>
      </c>
      <c r="I229" s="19">
        <v>56000</v>
      </c>
      <c r="J229" s="16">
        <v>6</v>
      </c>
      <c r="K229" s="16" t="str">
        <f t="shared" si="13"/>
        <v>Baixo</v>
      </c>
      <c r="L229" s="16" t="s">
        <v>14</v>
      </c>
      <c r="M229" s="19">
        <v>77000</v>
      </c>
      <c r="N229" s="16" t="str">
        <f t="shared" si="16"/>
        <v>Aprovado</v>
      </c>
      <c r="O229" s="16" t="str">
        <f t="shared" si="14"/>
        <v>Aprovado</v>
      </c>
      <c r="P229" s="29">
        <f t="shared" si="15"/>
        <v>6160</v>
      </c>
    </row>
    <row r="230" spans="1:16" x14ac:dyDescent="0.3">
      <c r="A230" s="20" t="s">
        <v>171</v>
      </c>
      <c r="B230" s="16" t="s">
        <v>355</v>
      </c>
      <c r="C230" s="44">
        <v>28200</v>
      </c>
      <c r="D230" s="20">
        <v>56</v>
      </c>
      <c r="E230" s="17">
        <v>25671</v>
      </c>
      <c r="F230" s="16" t="s">
        <v>149</v>
      </c>
      <c r="G230" s="16" t="s">
        <v>16</v>
      </c>
      <c r="H230" s="18">
        <v>28300</v>
      </c>
      <c r="I230" s="19">
        <v>56000</v>
      </c>
      <c r="J230" s="16">
        <v>6</v>
      </c>
      <c r="K230" s="16" t="str">
        <f t="shared" si="13"/>
        <v>Baixo</v>
      </c>
      <c r="L230" s="16" t="s">
        <v>14</v>
      </c>
      <c r="M230" s="19">
        <v>84500</v>
      </c>
      <c r="N230" s="16" t="str">
        <f t="shared" si="16"/>
        <v>Aprovado</v>
      </c>
      <c r="O230" s="16" t="str">
        <f t="shared" si="14"/>
        <v>Aprovado</v>
      </c>
      <c r="P230" s="29">
        <f t="shared" si="15"/>
        <v>6760</v>
      </c>
    </row>
    <row r="231" spans="1:16" x14ac:dyDescent="0.3">
      <c r="A231" s="20" t="s">
        <v>171</v>
      </c>
      <c r="B231" s="16" t="s">
        <v>356</v>
      </c>
      <c r="C231" s="44">
        <v>0</v>
      </c>
      <c r="D231" s="20">
        <v>62</v>
      </c>
      <c r="E231" s="17">
        <v>23278</v>
      </c>
      <c r="F231" s="16" t="s">
        <v>135</v>
      </c>
      <c r="G231" s="16" t="s">
        <v>17</v>
      </c>
      <c r="H231" s="18">
        <v>17000</v>
      </c>
      <c r="I231" s="19">
        <v>64000</v>
      </c>
      <c r="J231" s="16">
        <v>21</v>
      </c>
      <c r="K231" s="16" t="str">
        <f t="shared" si="13"/>
        <v>Médio</v>
      </c>
      <c r="L231" s="16" t="s">
        <v>13</v>
      </c>
      <c r="M231" s="19">
        <v>19000</v>
      </c>
      <c r="N231" s="16" t="str">
        <f t="shared" si="16"/>
        <v>Aprovado</v>
      </c>
      <c r="O231" s="16" t="str">
        <f t="shared" si="14"/>
        <v>Negado</v>
      </c>
      <c r="P231" s="29">
        <f t="shared" si="15"/>
        <v>1520</v>
      </c>
    </row>
    <row r="232" spans="1:16" x14ac:dyDescent="0.3">
      <c r="A232" s="20" t="s">
        <v>172</v>
      </c>
      <c r="B232" s="16" t="s">
        <v>356</v>
      </c>
      <c r="C232" s="44">
        <v>0</v>
      </c>
      <c r="D232" s="20">
        <v>38</v>
      </c>
      <c r="E232" s="17">
        <v>32118</v>
      </c>
      <c r="F232" s="16" t="s">
        <v>150</v>
      </c>
      <c r="G232" s="16" t="s">
        <v>15</v>
      </c>
      <c r="H232" s="18">
        <v>15800</v>
      </c>
      <c r="I232" s="19">
        <v>14500</v>
      </c>
      <c r="J232" s="16">
        <v>4</v>
      </c>
      <c r="K232" s="16" t="str">
        <f t="shared" si="13"/>
        <v>Baixo</v>
      </c>
      <c r="L232" s="16" t="s">
        <v>14</v>
      </c>
      <c r="M232" s="19">
        <v>21000</v>
      </c>
      <c r="N232" s="16" t="str">
        <f t="shared" si="16"/>
        <v>Aprovado</v>
      </c>
      <c r="O232" s="16" t="str">
        <f t="shared" si="14"/>
        <v>Aprovado</v>
      </c>
      <c r="P232" s="29">
        <f t="shared" si="15"/>
        <v>0</v>
      </c>
    </row>
    <row r="233" spans="1:16" x14ac:dyDescent="0.3">
      <c r="A233" s="20" t="s">
        <v>171</v>
      </c>
      <c r="B233" s="16" t="s">
        <v>357</v>
      </c>
      <c r="C233" s="44">
        <v>4400</v>
      </c>
      <c r="D233" s="20">
        <v>42</v>
      </c>
      <c r="E233" s="17">
        <v>30666</v>
      </c>
      <c r="F233" s="16" t="s">
        <v>139</v>
      </c>
      <c r="G233" s="16" t="s">
        <v>18</v>
      </c>
      <c r="H233" s="18">
        <v>6000</v>
      </c>
      <c r="I233" s="19">
        <v>55000</v>
      </c>
      <c r="J233" s="16">
        <v>5</v>
      </c>
      <c r="K233" s="16" t="str">
        <f t="shared" si="13"/>
        <v>Baixo</v>
      </c>
      <c r="L233" s="16" t="s">
        <v>14</v>
      </c>
      <c r="M233" s="19">
        <v>10000</v>
      </c>
      <c r="N233" s="16" t="str">
        <f t="shared" si="16"/>
        <v>Aprovado</v>
      </c>
      <c r="O233" s="16" t="str">
        <f t="shared" si="14"/>
        <v>Aprovado</v>
      </c>
      <c r="P233" s="29">
        <f t="shared" si="15"/>
        <v>800</v>
      </c>
    </row>
    <row r="234" spans="1:16" x14ac:dyDescent="0.3">
      <c r="A234" s="20" t="s">
        <v>171</v>
      </c>
      <c r="B234" s="16" t="s">
        <v>358</v>
      </c>
      <c r="C234" s="44">
        <v>11100</v>
      </c>
      <c r="D234" s="20">
        <v>47</v>
      </c>
      <c r="E234" s="17">
        <v>29007</v>
      </c>
      <c r="F234" s="16" t="s">
        <v>133</v>
      </c>
      <c r="G234" s="16" t="s">
        <v>27</v>
      </c>
      <c r="H234" s="18">
        <v>5000</v>
      </c>
      <c r="I234" s="19">
        <v>75500</v>
      </c>
      <c r="J234" s="16">
        <v>2</v>
      </c>
      <c r="K234" s="16" t="str">
        <f t="shared" si="13"/>
        <v>Baixo</v>
      </c>
      <c r="L234" s="16" t="s">
        <v>13</v>
      </c>
      <c r="M234" s="19">
        <v>89500</v>
      </c>
      <c r="N234" s="16" t="str">
        <f t="shared" si="16"/>
        <v>Aprovado</v>
      </c>
      <c r="O234" s="16" t="str">
        <f t="shared" si="14"/>
        <v>Negado</v>
      </c>
      <c r="P234" s="29">
        <f t="shared" si="15"/>
        <v>7160</v>
      </c>
    </row>
    <row r="235" spans="1:16" x14ac:dyDescent="0.3">
      <c r="A235" s="20" t="s">
        <v>172</v>
      </c>
      <c r="B235" s="16" t="s">
        <v>359</v>
      </c>
      <c r="C235" s="44">
        <v>200</v>
      </c>
      <c r="D235" s="20">
        <v>55</v>
      </c>
      <c r="E235" s="17">
        <v>25892</v>
      </c>
      <c r="F235" s="16" t="s">
        <v>150</v>
      </c>
      <c r="G235" s="16" t="s">
        <v>15</v>
      </c>
      <c r="H235" s="18">
        <v>5300</v>
      </c>
      <c r="I235" s="19">
        <v>6500</v>
      </c>
      <c r="J235" s="16">
        <v>42</v>
      </c>
      <c r="K235" s="16" t="str">
        <f t="shared" si="13"/>
        <v>Alto</v>
      </c>
      <c r="L235" s="16" t="s">
        <v>14</v>
      </c>
      <c r="M235" s="19">
        <v>96000</v>
      </c>
      <c r="N235" s="16" t="str">
        <f t="shared" si="16"/>
        <v>Aprovado</v>
      </c>
      <c r="O235" s="16" t="str">
        <f t="shared" si="14"/>
        <v>Aprovado</v>
      </c>
      <c r="P235" s="29">
        <f t="shared" si="15"/>
        <v>0</v>
      </c>
    </row>
    <row r="236" spans="1:16" x14ac:dyDescent="0.3">
      <c r="A236" s="20" t="s">
        <v>171</v>
      </c>
      <c r="B236" s="16" t="s">
        <v>360</v>
      </c>
      <c r="C236" s="44">
        <v>0</v>
      </c>
      <c r="D236" s="20">
        <v>49</v>
      </c>
      <c r="E236" s="17">
        <v>28330</v>
      </c>
      <c r="F236" s="16" t="s">
        <v>138</v>
      </c>
      <c r="G236" s="16" t="s">
        <v>27</v>
      </c>
      <c r="H236" s="18">
        <v>11500</v>
      </c>
      <c r="I236" s="19">
        <v>44500</v>
      </c>
      <c r="J236" s="16">
        <v>45</v>
      </c>
      <c r="K236" s="16" t="str">
        <f t="shared" si="13"/>
        <v>Alto</v>
      </c>
      <c r="L236" s="16" t="s">
        <v>14</v>
      </c>
      <c r="M236" s="19">
        <v>3000</v>
      </c>
      <c r="N236" s="16" t="str">
        <f t="shared" si="16"/>
        <v>Aprovado</v>
      </c>
      <c r="O236" s="16" t="str">
        <f t="shared" si="14"/>
        <v>Aprovado</v>
      </c>
      <c r="P236" s="29">
        <f t="shared" si="15"/>
        <v>240</v>
      </c>
    </row>
    <row r="237" spans="1:16" x14ac:dyDescent="0.3">
      <c r="A237" s="20" t="s">
        <v>171</v>
      </c>
      <c r="B237" s="16" t="s">
        <v>361</v>
      </c>
      <c r="C237" s="44">
        <v>19100</v>
      </c>
      <c r="D237" s="20">
        <v>48</v>
      </c>
      <c r="E237" s="17">
        <v>28647</v>
      </c>
      <c r="F237" s="16" t="s">
        <v>141</v>
      </c>
      <c r="G237" s="16" t="s">
        <v>130</v>
      </c>
      <c r="H237" s="18">
        <v>13200</v>
      </c>
      <c r="I237" s="19">
        <v>3500</v>
      </c>
      <c r="J237" s="16">
        <v>1</v>
      </c>
      <c r="K237" s="16" t="str">
        <f t="shared" si="13"/>
        <v>Baixo</v>
      </c>
      <c r="L237" s="16" t="s">
        <v>14</v>
      </c>
      <c r="M237" s="19">
        <v>32500</v>
      </c>
      <c r="N237" s="16" t="str">
        <f t="shared" si="16"/>
        <v>Aprovado</v>
      </c>
      <c r="O237" s="16" t="str">
        <f t="shared" si="14"/>
        <v>Aprovado</v>
      </c>
      <c r="P237" s="29">
        <f t="shared" si="15"/>
        <v>2600</v>
      </c>
    </row>
    <row r="238" spans="1:16" x14ac:dyDescent="0.3">
      <c r="A238" s="20" t="s">
        <v>171</v>
      </c>
      <c r="B238" s="16" t="s">
        <v>362</v>
      </c>
      <c r="C238" s="44">
        <v>22500</v>
      </c>
      <c r="D238" s="20">
        <v>45</v>
      </c>
      <c r="E238" s="17">
        <v>29598</v>
      </c>
      <c r="F238" s="16" t="s">
        <v>141</v>
      </c>
      <c r="G238" s="16" t="s">
        <v>33</v>
      </c>
      <c r="H238" s="18">
        <v>22800</v>
      </c>
      <c r="I238" s="19">
        <v>0</v>
      </c>
      <c r="J238" s="16">
        <v>10</v>
      </c>
      <c r="K238" s="16" t="str">
        <f t="shared" si="13"/>
        <v>Baixo</v>
      </c>
      <c r="L238" s="16" t="s">
        <v>14</v>
      </c>
      <c r="M238" s="19">
        <v>31000</v>
      </c>
      <c r="N238" s="16" t="str">
        <f t="shared" si="16"/>
        <v>Aprovado</v>
      </c>
      <c r="O238" s="16" t="str">
        <f t="shared" si="14"/>
        <v>Aprovado</v>
      </c>
      <c r="P238" s="29">
        <f t="shared" si="15"/>
        <v>2480</v>
      </c>
    </row>
    <row r="239" spans="1:16" x14ac:dyDescent="0.3">
      <c r="A239" s="20" t="s">
        <v>171</v>
      </c>
      <c r="B239" s="16" t="s">
        <v>363</v>
      </c>
      <c r="C239" s="44">
        <v>0</v>
      </c>
      <c r="D239" s="20">
        <v>46</v>
      </c>
      <c r="E239" s="17" t="s">
        <v>130</v>
      </c>
      <c r="F239" s="16" t="s">
        <v>135</v>
      </c>
      <c r="G239" s="16" t="s">
        <v>17</v>
      </c>
      <c r="H239" s="18">
        <v>21300</v>
      </c>
      <c r="I239" s="19">
        <v>60500</v>
      </c>
      <c r="J239" s="16">
        <v>15</v>
      </c>
      <c r="K239" s="16" t="str">
        <f t="shared" si="13"/>
        <v>Médio</v>
      </c>
      <c r="L239" s="16" t="s">
        <v>62</v>
      </c>
      <c r="M239" s="19">
        <v>74500</v>
      </c>
      <c r="N239" s="16" t="str">
        <f t="shared" si="16"/>
        <v>Aprovado</v>
      </c>
      <c r="O239" s="16" t="str">
        <f t="shared" si="14"/>
        <v>Aprovado</v>
      </c>
      <c r="P239" s="29">
        <f t="shared" si="15"/>
        <v>5960</v>
      </c>
    </row>
    <row r="240" spans="1:16" x14ac:dyDescent="0.3">
      <c r="A240" s="20" t="s">
        <v>171</v>
      </c>
      <c r="B240" s="16" t="s">
        <v>364</v>
      </c>
      <c r="C240" s="44">
        <v>21200</v>
      </c>
      <c r="D240" s="20">
        <v>26</v>
      </c>
      <c r="E240" s="17" t="s">
        <v>60</v>
      </c>
      <c r="F240" s="16" t="s">
        <v>139</v>
      </c>
      <c r="G240" s="16" t="s">
        <v>18</v>
      </c>
      <c r="H240" s="18">
        <v>8900</v>
      </c>
      <c r="I240" s="19">
        <v>72000</v>
      </c>
      <c r="J240" s="16">
        <v>17</v>
      </c>
      <c r="K240" s="16" t="str">
        <f t="shared" si="13"/>
        <v>Médio</v>
      </c>
      <c r="L240" s="16" t="s">
        <v>62</v>
      </c>
      <c r="M240" s="19">
        <v>11000</v>
      </c>
      <c r="N240" s="16" t="str">
        <f t="shared" si="16"/>
        <v>Aprovado</v>
      </c>
      <c r="O240" s="16" t="str">
        <f t="shared" si="14"/>
        <v>Aprovado</v>
      </c>
      <c r="P240" s="29">
        <f t="shared" si="15"/>
        <v>880</v>
      </c>
    </row>
    <row r="241" spans="1:16" x14ac:dyDescent="0.3">
      <c r="A241" s="20" t="s">
        <v>171</v>
      </c>
      <c r="B241" s="16" t="s">
        <v>365</v>
      </c>
      <c r="C241" s="44">
        <v>24800</v>
      </c>
      <c r="D241" s="20">
        <v>40</v>
      </c>
      <c r="E241" s="17">
        <v>31408</v>
      </c>
      <c r="F241" s="16" t="s">
        <v>162</v>
      </c>
      <c r="G241" s="16" t="s">
        <v>27</v>
      </c>
      <c r="H241" s="18">
        <v>17400</v>
      </c>
      <c r="I241" s="19">
        <v>53000</v>
      </c>
      <c r="J241" s="16">
        <v>20</v>
      </c>
      <c r="K241" s="16" t="str">
        <f t="shared" si="13"/>
        <v>Médio</v>
      </c>
      <c r="L241" s="16" t="s">
        <v>13</v>
      </c>
      <c r="M241" s="19">
        <v>52500</v>
      </c>
      <c r="N241" s="16" t="str">
        <f t="shared" si="16"/>
        <v>Aprovado</v>
      </c>
      <c r="O241" s="16" t="str">
        <f t="shared" si="14"/>
        <v>Negado</v>
      </c>
      <c r="P241" s="29">
        <f t="shared" si="15"/>
        <v>4200</v>
      </c>
    </row>
    <row r="242" spans="1:16" x14ac:dyDescent="0.3">
      <c r="A242" s="20" t="s">
        <v>171</v>
      </c>
      <c r="B242" s="16" t="s">
        <v>366</v>
      </c>
      <c r="C242" s="44">
        <v>30100</v>
      </c>
      <c r="D242" s="20">
        <v>42</v>
      </c>
      <c r="E242" s="17">
        <v>30898</v>
      </c>
      <c r="F242" s="16" t="s">
        <v>141</v>
      </c>
      <c r="G242" s="16" t="s">
        <v>130</v>
      </c>
      <c r="H242" s="18">
        <v>20800</v>
      </c>
      <c r="I242" s="19">
        <v>54000</v>
      </c>
      <c r="J242" s="16">
        <v>4</v>
      </c>
      <c r="K242" s="16" t="str">
        <f t="shared" si="13"/>
        <v>Baixo</v>
      </c>
      <c r="L242" s="16" t="s">
        <v>14</v>
      </c>
      <c r="M242" s="19">
        <v>73500</v>
      </c>
      <c r="N242" s="16" t="str">
        <f t="shared" si="16"/>
        <v>Aprovado</v>
      </c>
      <c r="O242" s="16" t="str">
        <f t="shared" si="14"/>
        <v>Aprovado</v>
      </c>
      <c r="P242" s="29">
        <f t="shared" si="15"/>
        <v>5880</v>
      </c>
    </row>
    <row r="243" spans="1:16" x14ac:dyDescent="0.3">
      <c r="A243" s="20" t="s">
        <v>172</v>
      </c>
      <c r="B243" s="16" t="s">
        <v>367</v>
      </c>
      <c r="C243" s="44">
        <v>0</v>
      </c>
      <c r="D243" s="20">
        <f ca="1">DATEDIF(E243,TODAY(),"Y")</f>
        <v>74</v>
      </c>
      <c r="E243" s="17">
        <v>19234</v>
      </c>
      <c r="F243" s="16" t="s">
        <v>132</v>
      </c>
      <c r="G243" s="16" t="s">
        <v>23</v>
      </c>
      <c r="H243" s="18">
        <v>8900</v>
      </c>
      <c r="I243" s="19">
        <v>4000</v>
      </c>
      <c r="J243" s="16">
        <v>38</v>
      </c>
      <c r="K243" s="16" t="str">
        <f t="shared" si="13"/>
        <v>Alto</v>
      </c>
      <c r="L243" s="16" t="s">
        <v>14</v>
      </c>
      <c r="M243" s="19">
        <v>22500</v>
      </c>
      <c r="N243" s="16" t="str">
        <f t="shared" si="16"/>
        <v>Aprovado</v>
      </c>
      <c r="O243" s="16" t="str">
        <f t="shared" si="14"/>
        <v>Aprovado</v>
      </c>
      <c r="P243" s="29">
        <f t="shared" si="15"/>
        <v>0</v>
      </c>
    </row>
    <row r="244" spans="1:16" x14ac:dyDescent="0.3">
      <c r="A244" s="20" t="s">
        <v>172</v>
      </c>
      <c r="B244" s="16" t="s">
        <v>368</v>
      </c>
      <c r="C244" s="44">
        <v>0</v>
      </c>
      <c r="D244" s="20">
        <f ca="1">DATEDIF(E244,TODAY(),"Y")</f>
        <v>36</v>
      </c>
      <c r="E244" s="17">
        <v>32890</v>
      </c>
      <c r="F244" s="16" t="s">
        <v>157</v>
      </c>
      <c r="G244" s="16" t="s">
        <v>16</v>
      </c>
      <c r="H244" s="18">
        <v>28100</v>
      </c>
      <c r="I244" s="19">
        <v>36500</v>
      </c>
      <c r="J244" s="16">
        <v>13</v>
      </c>
      <c r="K244" s="16" t="str">
        <f t="shared" si="13"/>
        <v>Médio</v>
      </c>
      <c r="L244" s="16" t="s">
        <v>14</v>
      </c>
      <c r="M244" s="19">
        <v>5000</v>
      </c>
      <c r="N244" s="16" t="str">
        <f t="shared" si="16"/>
        <v>Aprovado</v>
      </c>
      <c r="O244" s="16" t="str">
        <f t="shared" si="14"/>
        <v>Aprovado</v>
      </c>
      <c r="P244" s="29">
        <f t="shared" si="15"/>
        <v>0</v>
      </c>
    </row>
    <row r="245" spans="1:16" x14ac:dyDescent="0.3">
      <c r="A245" s="20" t="s">
        <v>171</v>
      </c>
      <c r="B245" s="16" t="s">
        <v>369</v>
      </c>
      <c r="C245" s="44">
        <v>0</v>
      </c>
      <c r="D245" s="20">
        <v>67</v>
      </c>
      <c r="E245" s="17">
        <v>21619</v>
      </c>
      <c r="F245" s="16" t="s">
        <v>150</v>
      </c>
      <c r="G245" s="16" t="s">
        <v>15</v>
      </c>
      <c r="H245" s="18">
        <v>20200</v>
      </c>
      <c r="I245" s="19">
        <v>6500</v>
      </c>
      <c r="J245" s="16">
        <v>1</v>
      </c>
      <c r="K245" s="16" t="str">
        <f t="shared" si="13"/>
        <v>Baixo</v>
      </c>
      <c r="L245" s="16" t="s">
        <v>14</v>
      </c>
      <c r="M245" s="19">
        <v>98500</v>
      </c>
      <c r="N245" s="16" t="str">
        <f t="shared" si="16"/>
        <v>Aprovado</v>
      </c>
      <c r="O245" s="16" t="str">
        <f t="shared" si="14"/>
        <v>Aprovado</v>
      </c>
      <c r="P245" s="29">
        <f t="shared" si="15"/>
        <v>7880</v>
      </c>
    </row>
    <row r="246" spans="1:16" x14ac:dyDescent="0.3">
      <c r="A246" s="20" t="s">
        <v>171</v>
      </c>
      <c r="B246" s="16" t="s">
        <v>370</v>
      </c>
      <c r="C246" s="44">
        <v>27500</v>
      </c>
      <c r="D246" s="20">
        <v>36</v>
      </c>
      <c r="E246" s="17">
        <v>33117</v>
      </c>
      <c r="F246" s="16" t="s">
        <v>148</v>
      </c>
      <c r="G246" s="16" t="s">
        <v>25</v>
      </c>
      <c r="H246" s="18">
        <v>11600</v>
      </c>
      <c r="I246" s="19">
        <v>78500</v>
      </c>
      <c r="J246" s="16">
        <v>1</v>
      </c>
      <c r="K246" s="16" t="str">
        <f t="shared" si="13"/>
        <v>Baixo</v>
      </c>
      <c r="L246" s="16" t="s">
        <v>14</v>
      </c>
      <c r="M246" s="19">
        <v>42000</v>
      </c>
      <c r="N246" s="16" t="str">
        <f t="shared" si="16"/>
        <v>Aprovado</v>
      </c>
      <c r="O246" s="16" t="str">
        <f t="shared" si="14"/>
        <v>Aprovado</v>
      </c>
      <c r="P246" s="29">
        <f t="shared" si="15"/>
        <v>3360</v>
      </c>
    </row>
    <row r="247" spans="1:16" x14ac:dyDescent="0.3">
      <c r="A247" s="20" t="s">
        <v>171</v>
      </c>
      <c r="B247" s="16" t="s">
        <v>371</v>
      </c>
      <c r="C247" s="44">
        <v>9500</v>
      </c>
      <c r="D247" s="20">
        <v>61</v>
      </c>
      <c r="E247" s="17">
        <v>23964</v>
      </c>
      <c r="F247" s="16" t="s">
        <v>140</v>
      </c>
      <c r="G247" s="16" t="s">
        <v>17</v>
      </c>
      <c r="H247" s="18">
        <v>7000</v>
      </c>
      <c r="I247" s="19">
        <v>1500</v>
      </c>
      <c r="J247" s="16">
        <v>32</v>
      </c>
      <c r="K247" s="16" t="str">
        <f t="shared" si="13"/>
        <v>Alto</v>
      </c>
      <c r="L247" s="16" t="s">
        <v>13</v>
      </c>
      <c r="M247" s="19">
        <v>53000</v>
      </c>
      <c r="N247" s="16" t="str">
        <f t="shared" si="16"/>
        <v>Negado</v>
      </c>
      <c r="O247" s="16" t="str">
        <f t="shared" si="14"/>
        <v>Aprovado</v>
      </c>
      <c r="P247" s="29">
        <f t="shared" si="15"/>
        <v>4240</v>
      </c>
    </row>
    <row r="248" spans="1:16" x14ac:dyDescent="0.3">
      <c r="A248" s="20" t="s">
        <v>171</v>
      </c>
      <c r="B248" s="16" t="s">
        <v>372</v>
      </c>
      <c r="C248" s="44">
        <v>13500</v>
      </c>
      <c r="D248" s="20">
        <f ca="1">DATEDIF(E248,TODAY(),"Y")</f>
        <v>32</v>
      </c>
      <c r="E248" s="17">
        <v>34411</v>
      </c>
      <c r="F248" s="16" t="s">
        <v>21</v>
      </c>
      <c r="G248" s="16" t="s">
        <v>21</v>
      </c>
      <c r="H248" s="18">
        <v>0</v>
      </c>
      <c r="I248" s="19">
        <v>0</v>
      </c>
      <c r="J248" s="16">
        <v>20</v>
      </c>
      <c r="K248" s="16" t="str">
        <f t="shared" si="13"/>
        <v>Médio</v>
      </c>
      <c r="L248" s="16" t="s">
        <v>14</v>
      </c>
      <c r="M248" s="19">
        <v>42000</v>
      </c>
      <c r="N248" s="16" t="str">
        <f t="shared" si="16"/>
        <v>Aprovado</v>
      </c>
      <c r="O248" s="16" t="str">
        <f t="shared" si="14"/>
        <v>Aprovado</v>
      </c>
      <c r="P248" s="29">
        <f t="shared" si="15"/>
        <v>3360</v>
      </c>
    </row>
    <row r="249" spans="1:16" x14ac:dyDescent="0.3">
      <c r="A249" s="20" t="s">
        <v>172</v>
      </c>
      <c r="B249" s="16" t="s">
        <v>372</v>
      </c>
      <c r="C249" s="44">
        <v>0</v>
      </c>
      <c r="D249" s="20">
        <v>31</v>
      </c>
      <c r="E249" s="17">
        <v>34828</v>
      </c>
      <c r="F249" s="16" t="s">
        <v>144</v>
      </c>
      <c r="G249" s="16" t="s">
        <v>18</v>
      </c>
      <c r="H249" s="18">
        <v>24900</v>
      </c>
      <c r="I249" s="19">
        <v>72000</v>
      </c>
      <c r="J249" s="16">
        <v>35</v>
      </c>
      <c r="K249" s="16" t="str">
        <f t="shared" si="13"/>
        <v>Alto</v>
      </c>
      <c r="L249" s="16" t="s">
        <v>14</v>
      </c>
      <c r="M249" s="19">
        <v>79000</v>
      </c>
      <c r="N249" s="16" t="str">
        <f t="shared" si="16"/>
        <v>Aprovado</v>
      </c>
      <c r="O249" s="16" t="str">
        <f t="shared" si="14"/>
        <v>Aprovado</v>
      </c>
      <c r="P249" s="29">
        <f t="shared" si="15"/>
        <v>0</v>
      </c>
    </row>
    <row r="250" spans="1:16" x14ac:dyDescent="0.3">
      <c r="A250" s="20" t="s">
        <v>171</v>
      </c>
      <c r="B250" s="16" t="s">
        <v>373</v>
      </c>
      <c r="C250" s="44">
        <v>0</v>
      </c>
      <c r="D250" s="20">
        <v>25</v>
      </c>
      <c r="E250" s="17">
        <v>36831</v>
      </c>
      <c r="F250" s="16" t="s">
        <v>142</v>
      </c>
      <c r="G250" s="16" t="s">
        <v>23</v>
      </c>
      <c r="H250" s="18">
        <v>9400</v>
      </c>
      <c r="I250" s="19">
        <v>51500</v>
      </c>
      <c r="J250" s="16">
        <v>14</v>
      </c>
      <c r="K250" s="16" t="str">
        <f t="shared" si="13"/>
        <v>Médio</v>
      </c>
      <c r="L250" s="16" t="s">
        <v>14</v>
      </c>
      <c r="M250" s="19">
        <v>74000</v>
      </c>
      <c r="N250" s="16" t="str">
        <f t="shared" si="16"/>
        <v>Aprovado</v>
      </c>
      <c r="O250" s="16" t="str">
        <f t="shared" si="14"/>
        <v>Aprovado</v>
      </c>
      <c r="P250" s="29">
        <f t="shared" si="15"/>
        <v>5920</v>
      </c>
    </row>
    <row r="251" spans="1:16" x14ac:dyDescent="0.3">
      <c r="A251" s="20" t="s">
        <v>171</v>
      </c>
      <c r="B251" s="16" t="s">
        <v>373</v>
      </c>
      <c r="C251" s="44">
        <v>22300</v>
      </c>
      <c r="D251" s="20">
        <v>25</v>
      </c>
      <c r="E251" s="17">
        <v>36831</v>
      </c>
      <c r="F251" s="16" t="s">
        <v>142</v>
      </c>
      <c r="G251" s="16" t="s">
        <v>23</v>
      </c>
      <c r="H251" s="18">
        <v>9400</v>
      </c>
      <c r="I251" s="19">
        <v>51500</v>
      </c>
      <c r="J251" s="16">
        <v>14</v>
      </c>
      <c r="K251" s="16" t="str">
        <f t="shared" si="13"/>
        <v>Médio</v>
      </c>
      <c r="L251" s="16" t="s">
        <v>14</v>
      </c>
      <c r="M251" s="19">
        <v>29500</v>
      </c>
      <c r="N251" s="16" t="str">
        <f t="shared" si="16"/>
        <v>Aprovado</v>
      </c>
      <c r="O251" s="16" t="str">
        <f t="shared" si="14"/>
        <v>Aprovado</v>
      </c>
      <c r="P251" s="29">
        <f t="shared" si="15"/>
        <v>2360</v>
      </c>
    </row>
    <row r="252" spans="1:16" x14ac:dyDescent="0.3">
      <c r="A252" s="20" t="s">
        <v>171</v>
      </c>
      <c r="B252" s="16" t="s">
        <v>374</v>
      </c>
      <c r="C252" s="44">
        <v>35400</v>
      </c>
      <c r="D252" s="20">
        <v>60</v>
      </c>
      <c r="E252" s="17">
        <v>24021</v>
      </c>
      <c r="F252" s="16" t="s">
        <v>153</v>
      </c>
      <c r="G252" s="16" t="s">
        <v>17</v>
      </c>
      <c r="H252" s="18">
        <v>22900</v>
      </c>
      <c r="I252" s="19">
        <v>4500</v>
      </c>
      <c r="J252" s="16">
        <v>29</v>
      </c>
      <c r="K252" s="16" t="str">
        <f t="shared" si="13"/>
        <v>Alto</v>
      </c>
      <c r="L252" s="16" t="s">
        <v>13</v>
      </c>
      <c r="M252" s="19">
        <v>43500</v>
      </c>
      <c r="N252" s="16" t="str">
        <f t="shared" si="16"/>
        <v>Negado</v>
      </c>
      <c r="O252" s="16" t="str">
        <f t="shared" si="14"/>
        <v>Aprovado</v>
      </c>
      <c r="P252" s="29">
        <f t="shared" si="15"/>
        <v>3480</v>
      </c>
    </row>
    <row r="253" spans="1:16" x14ac:dyDescent="0.3">
      <c r="A253" s="20" t="s">
        <v>171</v>
      </c>
      <c r="B253" s="16" t="s">
        <v>375</v>
      </c>
      <c r="C253" s="44">
        <v>2900</v>
      </c>
      <c r="D253" s="20">
        <v>40</v>
      </c>
      <c r="E253" s="17" t="s">
        <v>50</v>
      </c>
      <c r="F253" s="16" t="s">
        <v>145</v>
      </c>
      <c r="G253" s="16" t="s">
        <v>164</v>
      </c>
      <c r="H253" s="18">
        <v>21300</v>
      </c>
      <c r="I253" s="19">
        <v>48500</v>
      </c>
      <c r="J253" s="16">
        <v>6</v>
      </c>
      <c r="K253" s="16" t="str">
        <f t="shared" si="13"/>
        <v>Baixo</v>
      </c>
      <c r="L253" s="16" t="s">
        <v>14</v>
      </c>
      <c r="M253" s="19">
        <v>62500</v>
      </c>
      <c r="N253" s="16" t="str">
        <f t="shared" si="16"/>
        <v>Aprovado</v>
      </c>
      <c r="O253" s="16" t="str">
        <f t="shared" si="14"/>
        <v>Aprovado</v>
      </c>
      <c r="P253" s="29">
        <f t="shared" si="15"/>
        <v>5000</v>
      </c>
    </row>
    <row r="254" spans="1:16" x14ac:dyDescent="0.3">
      <c r="A254" s="20" t="s">
        <v>171</v>
      </c>
      <c r="B254" s="16" t="s">
        <v>376</v>
      </c>
      <c r="C254" s="44">
        <v>9000</v>
      </c>
      <c r="D254" s="20">
        <v>32</v>
      </c>
      <c r="E254" s="17">
        <v>34457</v>
      </c>
      <c r="F254" s="16" t="s">
        <v>157</v>
      </c>
      <c r="G254" s="16" t="s">
        <v>16</v>
      </c>
      <c r="H254" s="18">
        <v>21300</v>
      </c>
      <c r="I254" s="19">
        <v>48000</v>
      </c>
      <c r="J254" s="16">
        <v>11</v>
      </c>
      <c r="K254" s="16" t="str">
        <f t="shared" si="13"/>
        <v>Médio</v>
      </c>
      <c r="L254" s="16" t="s">
        <v>14</v>
      </c>
      <c r="M254" s="19">
        <v>35000</v>
      </c>
      <c r="N254" s="16" t="str">
        <f t="shared" si="16"/>
        <v>Aprovado</v>
      </c>
      <c r="O254" s="16" t="str">
        <f t="shared" si="14"/>
        <v>Aprovado</v>
      </c>
      <c r="P254" s="29">
        <f t="shared" si="15"/>
        <v>2800</v>
      </c>
    </row>
    <row r="255" spans="1:16" x14ac:dyDescent="0.3">
      <c r="A255" s="20" t="s">
        <v>171</v>
      </c>
      <c r="B255" s="16" t="s">
        <v>377</v>
      </c>
      <c r="C255" s="44">
        <v>5000</v>
      </c>
      <c r="D255" s="20">
        <v>39</v>
      </c>
      <c r="E255" s="17">
        <v>31879</v>
      </c>
      <c r="F255" s="16" t="s">
        <v>142</v>
      </c>
      <c r="G255" s="16" t="s">
        <v>23</v>
      </c>
      <c r="H255" s="18">
        <v>29900</v>
      </c>
      <c r="I255" s="19">
        <v>0</v>
      </c>
      <c r="J255" s="16">
        <v>39</v>
      </c>
      <c r="K255" s="16" t="str">
        <f t="shared" si="13"/>
        <v>Alto</v>
      </c>
      <c r="L255" s="16" t="s">
        <v>14</v>
      </c>
      <c r="M255" s="19">
        <v>75000</v>
      </c>
      <c r="N255" s="16" t="str">
        <f t="shared" si="16"/>
        <v>Aprovado</v>
      </c>
      <c r="O255" s="16" t="str">
        <f t="shared" si="14"/>
        <v>Aprovado</v>
      </c>
      <c r="P255" s="29">
        <f t="shared" si="15"/>
        <v>6000</v>
      </c>
    </row>
    <row r="256" spans="1:16" x14ac:dyDescent="0.3">
      <c r="A256" s="20" t="s">
        <v>171</v>
      </c>
      <c r="B256" s="16" t="s">
        <v>378</v>
      </c>
      <c r="C256" s="44">
        <v>5300</v>
      </c>
      <c r="D256" s="20">
        <v>56</v>
      </c>
      <c r="E256" s="17">
        <v>25578</v>
      </c>
      <c r="F256" s="16" t="s">
        <v>136</v>
      </c>
      <c r="G256" s="16" t="s">
        <v>28</v>
      </c>
      <c r="H256" s="19">
        <v>14900</v>
      </c>
      <c r="I256" s="19">
        <v>0</v>
      </c>
      <c r="J256" s="16">
        <v>13</v>
      </c>
      <c r="K256" s="16" t="str">
        <f t="shared" si="13"/>
        <v>Médio</v>
      </c>
      <c r="L256" s="16" t="s">
        <v>14</v>
      </c>
      <c r="M256" s="19">
        <v>71000</v>
      </c>
      <c r="N256" s="16" t="str">
        <f t="shared" si="16"/>
        <v>Aprovado</v>
      </c>
      <c r="O256" s="16" t="str">
        <f t="shared" si="14"/>
        <v>Aprovado</v>
      </c>
      <c r="P256" s="29">
        <f t="shared" si="15"/>
        <v>5680</v>
      </c>
    </row>
    <row r="257" spans="1:16" x14ac:dyDescent="0.3">
      <c r="A257" s="20" t="s">
        <v>171</v>
      </c>
      <c r="B257" s="16" t="s">
        <v>379</v>
      </c>
      <c r="C257" s="44">
        <v>3500</v>
      </c>
      <c r="D257" s="20">
        <v>52</v>
      </c>
      <c r="E257" s="17" t="s">
        <v>55</v>
      </c>
      <c r="F257" s="16" t="s">
        <v>160</v>
      </c>
      <c r="G257" s="16" t="s">
        <v>170</v>
      </c>
      <c r="H257" s="19">
        <v>17500</v>
      </c>
      <c r="I257" s="19">
        <v>6500</v>
      </c>
      <c r="J257" s="16">
        <v>0</v>
      </c>
      <c r="K257" s="16" t="str">
        <f t="shared" si="13"/>
        <v>Baixo</v>
      </c>
      <c r="L257" s="16" t="s">
        <v>14</v>
      </c>
      <c r="M257" s="19">
        <v>42500</v>
      </c>
      <c r="N257" s="16" t="str">
        <f t="shared" si="16"/>
        <v>Aprovado</v>
      </c>
      <c r="O257" s="16" t="str">
        <f t="shared" si="14"/>
        <v>Aprovado</v>
      </c>
      <c r="P257" s="29">
        <f t="shared" si="15"/>
        <v>3400</v>
      </c>
    </row>
    <row r="258" spans="1:16" x14ac:dyDescent="0.3">
      <c r="A258" s="20" t="s">
        <v>171</v>
      </c>
      <c r="B258" s="16" t="s">
        <v>380</v>
      </c>
      <c r="C258" s="44">
        <v>22400</v>
      </c>
      <c r="D258" s="20">
        <v>55</v>
      </c>
      <c r="E258" s="17">
        <v>26103</v>
      </c>
      <c r="F258" s="16" t="s">
        <v>150</v>
      </c>
      <c r="G258" s="16" t="s">
        <v>15</v>
      </c>
      <c r="H258" s="18">
        <v>9600</v>
      </c>
      <c r="I258" s="19">
        <v>43000</v>
      </c>
      <c r="J258" s="16">
        <v>36</v>
      </c>
      <c r="K258" s="16" t="str">
        <f t="shared" ref="K258:K321" si="17">IF(J258&gt;25,"Alto", IF(J258&lt;=10,"Baixo","Médio"))</f>
        <v>Alto</v>
      </c>
      <c r="L258" s="16" t="s">
        <v>14</v>
      </c>
      <c r="M258" s="19">
        <v>67500</v>
      </c>
      <c r="N258" s="16" t="str">
        <f t="shared" si="16"/>
        <v>Aprovado</v>
      </c>
      <c r="O258" s="16" t="str">
        <f t="shared" ref="O258:O321" si="18">IF(AND(I258&gt;50000,L258="Sim"),"Negado","Aprovado")</f>
        <v>Aprovado</v>
      </c>
      <c r="P258" s="29">
        <f t="shared" ref="P258:P321" si="19">IF(AND(N258="Negado",O258="Negado"),0, IF(A258="Ativo",M258*8%,0))</f>
        <v>5400</v>
      </c>
    </row>
    <row r="259" spans="1:16" x14ac:dyDescent="0.3">
      <c r="A259" s="20" t="s">
        <v>171</v>
      </c>
      <c r="B259" s="16" t="s">
        <v>381</v>
      </c>
      <c r="C259" s="44">
        <v>5400</v>
      </c>
      <c r="D259" s="20">
        <v>55</v>
      </c>
      <c r="E259" s="17">
        <v>25874</v>
      </c>
      <c r="F259" s="16" t="s">
        <v>21</v>
      </c>
      <c r="G259" s="16" t="s">
        <v>21</v>
      </c>
      <c r="H259" s="18">
        <v>29100</v>
      </c>
      <c r="I259" s="19">
        <v>5500</v>
      </c>
      <c r="J259" s="16">
        <v>11</v>
      </c>
      <c r="K259" s="16" t="str">
        <f t="shared" si="17"/>
        <v>Médio</v>
      </c>
      <c r="L259" s="16" t="s">
        <v>14</v>
      </c>
      <c r="M259" s="19">
        <v>56000</v>
      </c>
      <c r="N259" s="16" t="str">
        <f t="shared" si="16"/>
        <v>Aprovado</v>
      </c>
      <c r="O259" s="16" t="str">
        <f t="shared" si="18"/>
        <v>Aprovado</v>
      </c>
      <c r="P259" s="29">
        <f t="shared" si="19"/>
        <v>4480</v>
      </c>
    </row>
    <row r="260" spans="1:16" x14ac:dyDescent="0.3">
      <c r="A260" s="20" t="s">
        <v>171</v>
      </c>
      <c r="B260" s="16" t="s">
        <v>382</v>
      </c>
      <c r="C260" s="44">
        <v>500</v>
      </c>
      <c r="D260" s="20">
        <v>65</v>
      </c>
      <c r="E260" s="17">
        <v>22236</v>
      </c>
      <c r="F260" s="16" t="s">
        <v>136</v>
      </c>
      <c r="G260" s="16" t="s">
        <v>28</v>
      </c>
      <c r="H260" s="18">
        <v>23400</v>
      </c>
      <c r="I260" s="19">
        <v>28000</v>
      </c>
      <c r="J260" s="16">
        <v>34</v>
      </c>
      <c r="K260" s="16" t="str">
        <f t="shared" si="17"/>
        <v>Alto</v>
      </c>
      <c r="L260" s="16" t="s">
        <v>14</v>
      </c>
      <c r="M260" s="19">
        <v>74000</v>
      </c>
      <c r="N260" s="16" t="str">
        <f t="shared" si="16"/>
        <v>Aprovado</v>
      </c>
      <c r="O260" s="16" t="str">
        <f t="shared" si="18"/>
        <v>Aprovado</v>
      </c>
      <c r="P260" s="29">
        <f t="shared" si="19"/>
        <v>5920</v>
      </c>
    </row>
    <row r="261" spans="1:16" x14ac:dyDescent="0.3">
      <c r="A261" s="20" t="s">
        <v>171</v>
      </c>
      <c r="B261" s="16" t="s">
        <v>383</v>
      </c>
      <c r="C261" s="44">
        <v>18500</v>
      </c>
      <c r="D261" s="20">
        <v>35</v>
      </c>
      <c r="E261" s="17" t="s">
        <v>59</v>
      </c>
      <c r="F261" s="16" t="s">
        <v>139</v>
      </c>
      <c r="G261" s="16" t="s">
        <v>18</v>
      </c>
      <c r="H261" s="18">
        <v>5600</v>
      </c>
      <c r="I261" s="19">
        <v>69500</v>
      </c>
      <c r="J261" s="16">
        <v>13</v>
      </c>
      <c r="K261" s="16" t="str">
        <f t="shared" si="17"/>
        <v>Médio</v>
      </c>
      <c r="L261" s="16" t="s">
        <v>14</v>
      </c>
      <c r="M261" s="19">
        <v>43500</v>
      </c>
      <c r="N261" s="16" t="str">
        <f t="shared" si="16"/>
        <v>Aprovado</v>
      </c>
      <c r="O261" s="16" t="str">
        <f t="shared" si="18"/>
        <v>Aprovado</v>
      </c>
      <c r="P261" s="29">
        <f t="shared" si="19"/>
        <v>3480</v>
      </c>
    </row>
    <row r="262" spans="1:16" x14ac:dyDescent="0.3">
      <c r="A262" s="20" t="s">
        <v>172</v>
      </c>
      <c r="B262" s="16" t="s">
        <v>384</v>
      </c>
      <c r="C262" s="44">
        <v>16900</v>
      </c>
      <c r="D262" s="20">
        <v>61</v>
      </c>
      <c r="E262" s="17">
        <v>23813</v>
      </c>
      <c r="F262" s="16" t="s">
        <v>138</v>
      </c>
      <c r="G262" s="16" t="s">
        <v>27</v>
      </c>
      <c r="H262" s="18">
        <v>26300</v>
      </c>
      <c r="I262" s="19">
        <v>40000</v>
      </c>
      <c r="J262" s="16">
        <v>10</v>
      </c>
      <c r="K262" s="16" t="str">
        <f t="shared" si="17"/>
        <v>Baixo</v>
      </c>
      <c r="L262" s="16" t="s">
        <v>13</v>
      </c>
      <c r="M262" s="19">
        <v>16500</v>
      </c>
      <c r="N262" s="16" t="str">
        <f t="shared" si="16"/>
        <v>Aprovado</v>
      </c>
      <c r="O262" s="16" t="str">
        <f t="shared" si="18"/>
        <v>Aprovado</v>
      </c>
      <c r="P262" s="29">
        <f t="shared" si="19"/>
        <v>0</v>
      </c>
    </row>
    <row r="263" spans="1:16" x14ac:dyDescent="0.3">
      <c r="A263" s="20" t="s">
        <v>171</v>
      </c>
      <c r="B263" s="16" t="s">
        <v>385</v>
      </c>
      <c r="C263" s="44">
        <v>0</v>
      </c>
      <c r="D263" s="20">
        <v>35</v>
      </c>
      <c r="E263" s="17">
        <v>33440</v>
      </c>
      <c r="F263" s="16" t="s">
        <v>136</v>
      </c>
      <c r="G263" s="16" t="s">
        <v>28</v>
      </c>
      <c r="H263" s="18">
        <v>2000</v>
      </c>
      <c r="I263" s="19">
        <v>5500</v>
      </c>
      <c r="J263" s="16">
        <v>34</v>
      </c>
      <c r="K263" s="16" t="str">
        <f t="shared" si="17"/>
        <v>Alto</v>
      </c>
      <c r="L263" s="16" t="s">
        <v>14</v>
      </c>
      <c r="M263" s="19">
        <v>71000</v>
      </c>
      <c r="N263" s="16" t="str">
        <f t="shared" si="16"/>
        <v>Aprovado</v>
      </c>
      <c r="O263" s="16" t="str">
        <f t="shared" si="18"/>
        <v>Aprovado</v>
      </c>
      <c r="P263" s="29">
        <f t="shared" si="19"/>
        <v>5680</v>
      </c>
    </row>
    <row r="264" spans="1:16" x14ac:dyDescent="0.3">
      <c r="A264" s="20" t="s">
        <v>172</v>
      </c>
      <c r="B264" s="16" t="s">
        <v>386</v>
      </c>
      <c r="C264" s="44">
        <v>10600</v>
      </c>
      <c r="D264" s="20">
        <v>20</v>
      </c>
      <c r="E264" s="17">
        <v>38704</v>
      </c>
      <c r="F264" s="16" t="s">
        <v>134</v>
      </c>
      <c r="G264" s="16" t="s">
        <v>15</v>
      </c>
      <c r="H264" s="18">
        <v>12900</v>
      </c>
      <c r="I264" s="19">
        <v>26500</v>
      </c>
      <c r="J264" s="16">
        <v>13</v>
      </c>
      <c r="K264" s="16" t="str">
        <f t="shared" si="17"/>
        <v>Médio</v>
      </c>
      <c r="L264" s="16" t="s">
        <v>14</v>
      </c>
      <c r="M264" s="19">
        <v>2000</v>
      </c>
      <c r="N264" s="16" t="str">
        <f t="shared" si="16"/>
        <v>Aprovado</v>
      </c>
      <c r="O264" s="16" t="str">
        <f t="shared" si="18"/>
        <v>Aprovado</v>
      </c>
      <c r="P264" s="29">
        <f t="shared" si="19"/>
        <v>0</v>
      </c>
    </row>
    <row r="265" spans="1:16" x14ac:dyDescent="0.3">
      <c r="A265" s="20" t="s">
        <v>171</v>
      </c>
      <c r="B265" s="16" t="s">
        <v>387</v>
      </c>
      <c r="C265" s="44">
        <v>30300</v>
      </c>
      <c r="D265" s="20">
        <v>24</v>
      </c>
      <c r="E265" s="17" t="s">
        <v>130</v>
      </c>
      <c r="F265" s="16" t="s">
        <v>135</v>
      </c>
      <c r="G265" s="16" t="s">
        <v>17</v>
      </c>
      <c r="H265" s="18">
        <v>29300</v>
      </c>
      <c r="I265" s="19">
        <v>32000</v>
      </c>
      <c r="J265" s="16">
        <v>26</v>
      </c>
      <c r="K265" s="16" t="str">
        <f t="shared" si="17"/>
        <v>Alto</v>
      </c>
      <c r="L265" s="16" t="s">
        <v>13</v>
      </c>
      <c r="M265" s="19">
        <v>59000</v>
      </c>
      <c r="N265" s="16" t="str">
        <f t="shared" si="16"/>
        <v>Negado</v>
      </c>
      <c r="O265" s="16" t="str">
        <f t="shared" si="18"/>
        <v>Aprovado</v>
      </c>
      <c r="P265" s="29">
        <f t="shared" si="19"/>
        <v>4720</v>
      </c>
    </row>
    <row r="266" spans="1:16" x14ac:dyDescent="0.3">
      <c r="A266" s="20" t="s">
        <v>172</v>
      </c>
      <c r="B266" s="16" t="s">
        <v>387</v>
      </c>
      <c r="C266" s="44">
        <v>0</v>
      </c>
      <c r="D266" s="20">
        <v>55</v>
      </c>
      <c r="E266" s="17">
        <v>26075</v>
      </c>
      <c r="F266" s="16" t="s">
        <v>137</v>
      </c>
      <c r="G266" s="16" t="s">
        <v>36</v>
      </c>
      <c r="H266" s="18">
        <v>21100</v>
      </c>
      <c r="I266" s="19">
        <v>67500</v>
      </c>
      <c r="J266" s="16">
        <v>15</v>
      </c>
      <c r="K266" s="16" t="str">
        <f t="shared" si="17"/>
        <v>Médio</v>
      </c>
      <c r="L266" s="16" t="s">
        <v>14</v>
      </c>
      <c r="M266" s="19">
        <v>20000</v>
      </c>
      <c r="N266" s="16" t="str">
        <f t="shared" si="16"/>
        <v>Aprovado</v>
      </c>
      <c r="O266" s="16" t="str">
        <f t="shared" si="18"/>
        <v>Aprovado</v>
      </c>
      <c r="P266" s="29">
        <f t="shared" si="19"/>
        <v>0</v>
      </c>
    </row>
    <row r="267" spans="1:16" x14ac:dyDescent="0.3">
      <c r="A267" s="20" t="s">
        <v>172</v>
      </c>
      <c r="B267" s="16" t="s">
        <v>388</v>
      </c>
      <c r="C267" s="44">
        <v>6500</v>
      </c>
      <c r="D267" s="20">
        <f ca="1">DATEDIF(E267,TODAY(),"Y")</f>
        <v>72</v>
      </c>
      <c r="E267" s="17">
        <v>19672</v>
      </c>
      <c r="F267" s="16" t="s">
        <v>21</v>
      </c>
      <c r="G267" s="16" t="s">
        <v>21</v>
      </c>
      <c r="H267" s="18">
        <v>21000</v>
      </c>
      <c r="I267" s="19">
        <v>0</v>
      </c>
      <c r="J267" s="16">
        <v>11</v>
      </c>
      <c r="K267" s="16" t="str">
        <f t="shared" si="17"/>
        <v>Médio</v>
      </c>
      <c r="L267" s="16" t="s">
        <v>14</v>
      </c>
      <c r="M267" s="19">
        <v>75500</v>
      </c>
      <c r="N267" s="16" t="str">
        <f t="shared" si="16"/>
        <v>Aprovado</v>
      </c>
      <c r="O267" s="16" t="str">
        <f t="shared" si="18"/>
        <v>Aprovado</v>
      </c>
      <c r="P267" s="29">
        <f t="shared" si="19"/>
        <v>0</v>
      </c>
    </row>
    <row r="268" spans="1:16" x14ac:dyDescent="0.3">
      <c r="A268" s="20" t="s">
        <v>171</v>
      </c>
      <c r="B268" s="16" t="s">
        <v>389</v>
      </c>
      <c r="C268" s="44">
        <v>37200</v>
      </c>
      <c r="D268" s="20">
        <v>34</v>
      </c>
      <c r="E268" s="17">
        <v>33525</v>
      </c>
      <c r="F268" s="16" t="s">
        <v>153</v>
      </c>
      <c r="G268" s="16" t="s">
        <v>130</v>
      </c>
      <c r="H268" s="18">
        <v>28000</v>
      </c>
      <c r="I268" s="19">
        <v>36500</v>
      </c>
      <c r="J268" s="16">
        <v>33</v>
      </c>
      <c r="K268" s="16" t="str">
        <f t="shared" si="17"/>
        <v>Alto</v>
      </c>
      <c r="L268" s="16" t="s">
        <v>14</v>
      </c>
      <c r="M268" s="19">
        <v>60000</v>
      </c>
      <c r="N268" s="16" t="str">
        <f t="shared" si="16"/>
        <v>Aprovado</v>
      </c>
      <c r="O268" s="16" t="str">
        <f t="shared" si="18"/>
        <v>Aprovado</v>
      </c>
      <c r="P268" s="29">
        <f t="shared" si="19"/>
        <v>4800</v>
      </c>
    </row>
    <row r="269" spans="1:16" x14ac:dyDescent="0.3">
      <c r="A269" s="20" t="s">
        <v>171</v>
      </c>
      <c r="B269" s="16" t="s">
        <v>34</v>
      </c>
      <c r="C269" s="44">
        <v>37600</v>
      </c>
      <c r="D269" s="20">
        <v>57</v>
      </c>
      <c r="E269" s="17">
        <v>25199</v>
      </c>
      <c r="F269" s="16" t="s">
        <v>142</v>
      </c>
      <c r="G269" s="16" t="s">
        <v>23</v>
      </c>
      <c r="H269" s="18">
        <v>20700</v>
      </c>
      <c r="I269" s="19">
        <v>64500</v>
      </c>
      <c r="J269" s="16">
        <v>19</v>
      </c>
      <c r="K269" s="16" t="str">
        <f t="shared" si="17"/>
        <v>Médio</v>
      </c>
      <c r="L269" s="16" t="s">
        <v>14</v>
      </c>
      <c r="M269" s="19">
        <v>54500</v>
      </c>
      <c r="N269" s="16" t="str">
        <f t="shared" si="16"/>
        <v>Aprovado</v>
      </c>
      <c r="O269" s="16" t="str">
        <f t="shared" si="18"/>
        <v>Aprovado</v>
      </c>
      <c r="P269" s="29">
        <f t="shared" si="19"/>
        <v>4360</v>
      </c>
    </row>
    <row r="270" spans="1:16" x14ac:dyDescent="0.3">
      <c r="A270" s="20" t="s">
        <v>172</v>
      </c>
      <c r="B270" s="16" t="s">
        <v>390</v>
      </c>
      <c r="C270" s="44">
        <v>4500</v>
      </c>
      <c r="D270" s="20">
        <v>66</v>
      </c>
      <c r="E270" s="17">
        <v>21954</v>
      </c>
      <c r="F270" s="16" t="s">
        <v>144</v>
      </c>
      <c r="G270" s="16" t="s">
        <v>18</v>
      </c>
      <c r="H270" s="18">
        <v>3400</v>
      </c>
      <c r="I270" s="19">
        <v>78000</v>
      </c>
      <c r="J270" s="16">
        <v>9</v>
      </c>
      <c r="K270" s="16" t="str">
        <f t="shared" si="17"/>
        <v>Baixo</v>
      </c>
      <c r="L270" s="16" t="s">
        <v>14</v>
      </c>
      <c r="M270" s="19">
        <v>51500</v>
      </c>
      <c r="N270" s="16" t="str">
        <f t="shared" si="16"/>
        <v>Aprovado</v>
      </c>
      <c r="O270" s="16" t="str">
        <f t="shared" si="18"/>
        <v>Aprovado</v>
      </c>
      <c r="P270" s="29">
        <f t="shared" si="19"/>
        <v>0</v>
      </c>
    </row>
    <row r="271" spans="1:16" x14ac:dyDescent="0.3">
      <c r="A271" s="20" t="s">
        <v>171</v>
      </c>
      <c r="B271" s="16" t="s">
        <v>391</v>
      </c>
      <c r="C271" s="44">
        <v>0</v>
      </c>
      <c r="D271" s="20">
        <v>18</v>
      </c>
      <c r="E271" s="17">
        <v>39342</v>
      </c>
      <c r="F271" s="16" t="s">
        <v>142</v>
      </c>
      <c r="G271" s="16" t="s">
        <v>23</v>
      </c>
      <c r="H271" s="18">
        <v>28900</v>
      </c>
      <c r="I271" s="19">
        <v>22000</v>
      </c>
      <c r="J271" s="16">
        <v>23</v>
      </c>
      <c r="K271" s="16" t="str">
        <f t="shared" si="17"/>
        <v>Médio</v>
      </c>
      <c r="L271" s="16" t="s">
        <v>14</v>
      </c>
      <c r="M271" s="19">
        <v>90000</v>
      </c>
      <c r="N271" s="16" t="str">
        <f t="shared" si="16"/>
        <v>Aprovado</v>
      </c>
      <c r="O271" s="16" t="str">
        <f t="shared" si="18"/>
        <v>Aprovado</v>
      </c>
      <c r="P271" s="29">
        <f t="shared" si="19"/>
        <v>7200</v>
      </c>
    </row>
    <row r="272" spans="1:16" x14ac:dyDescent="0.3">
      <c r="A272" s="20" t="s">
        <v>171</v>
      </c>
      <c r="B272" s="16" t="s">
        <v>44</v>
      </c>
      <c r="C272" s="44">
        <v>0</v>
      </c>
      <c r="D272" s="20">
        <v>44</v>
      </c>
      <c r="E272" s="17">
        <v>30081</v>
      </c>
      <c r="F272" s="16" t="s">
        <v>138</v>
      </c>
      <c r="G272" s="16" t="s">
        <v>27</v>
      </c>
      <c r="H272" s="18">
        <v>9600</v>
      </c>
      <c r="I272" s="19">
        <v>66000</v>
      </c>
      <c r="J272" s="16">
        <v>11</v>
      </c>
      <c r="K272" s="16" t="str">
        <f t="shared" si="17"/>
        <v>Médio</v>
      </c>
      <c r="L272" s="16" t="s">
        <v>62</v>
      </c>
      <c r="M272" s="19">
        <v>4500</v>
      </c>
      <c r="N272" s="16" t="str">
        <f t="shared" si="16"/>
        <v>Aprovado</v>
      </c>
      <c r="O272" s="16" t="str">
        <f t="shared" si="18"/>
        <v>Aprovado</v>
      </c>
      <c r="P272" s="29">
        <f t="shared" si="19"/>
        <v>360</v>
      </c>
    </row>
    <row r="273" spans="1:16" x14ac:dyDescent="0.3">
      <c r="A273" s="20" t="s">
        <v>172</v>
      </c>
      <c r="B273" s="16" t="s">
        <v>392</v>
      </c>
      <c r="C273" s="44">
        <v>0</v>
      </c>
      <c r="D273" s="20">
        <v>27</v>
      </c>
      <c r="E273" s="17">
        <v>36151</v>
      </c>
      <c r="F273" s="16" t="s">
        <v>153</v>
      </c>
      <c r="G273" s="16" t="s">
        <v>17</v>
      </c>
      <c r="H273" s="18">
        <v>25900</v>
      </c>
      <c r="I273" s="19">
        <v>0</v>
      </c>
      <c r="J273" s="16">
        <v>10</v>
      </c>
      <c r="K273" s="16" t="str">
        <f t="shared" si="17"/>
        <v>Baixo</v>
      </c>
      <c r="L273" s="16" t="s">
        <v>13</v>
      </c>
      <c r="M273" s="19">
        <v>5000</v>
      </c>
      <c r="N273" s="16" t="str">
        <f t="shared" si="16"/>
        <v>Aprovado</v>
      </c>
      <c r="O273" s="16" t="str">
        <f t="shared" si="18"/>
        <v>Aprovado</v>
      </c>
      <c r="P273" s="29">
        <f t="shared" si="19"/>
        <v>0</v>
      </c>
    </row>
    <row r="274" spans="1:16" x14ac:dyDescent="0.3">
      <c r="A274" s="20" t="s">
        <v>171</v>
      </c>
      <c r="B274" s="16" t="s">
        <v>393</v>
      </c>
      <c r="C274" s="44">
        <v>33500</v>
      </c>
      <c r="D274" s="20">
        <v>35</v>
      </c>
      <c r="E274" s="17">
        <v>33309</v>
      </c>
      <c r="F274" s="16" t="s">
        <v>157</v>
      </c>
      <c r="G274" s="16" t="s">
        <v>16</v>
      </c>
      <c r="H274" s="18">
        <v>28500</v>
      </c>
      <c r="I274" s="19">
        <v>48500</v>
      </c>
      <c r="J274" s="16">
        <v>24</v>
      </c>
      <c r="K274" s="16" t="str">
        <f t="shared" si="17"/>
        <v>Médio</v>
      </c>
      <c r="L274" s="16" t="s">
        <v>14</v>
      </c>
      <c r="M274" s="19">
        <v>80500</v>
      </c>
      <c r="N274" s="16" t="str">
        <f t="shared" si="16"/>
        <v>Aprovado</v>
      </c>
      <c r="O274" s="16" t="str">
        <f t="shared" si="18"/>
        <v>Aprovado</v>
      </c>
      <c r="P274" s="29">
        <f t="shared" si="19"/>
        <v>6440</v>
      </c>
    </row>
    <row r="275" spans="1:16" x14ac:dyDescent="0.3">
      <c r="A275" s="20" t="s">
        <v>171</v>
      </c>
      <c r="B275" s="16" t="s">
        <v>394</v>
      </c>
      <c r="C275" s="44">
        <v>17800</v>
      </c>
      <c r="D275" s="20">
        <v>30</v>
      </c>
      <c r="E275" s="17">
        <v>35109</v>
      </c>
      <c r="F275" s="16" t="s">
        <v>150</v>
      </c>
      <c r="G275" s="16" t="s">
        <v>15</v>
      </c>
      <c r="H275" s="18">
        <v>2600</v>
      </c>
      <c r="I275" s="19">
        <v>62000</v>
      </c>
      <c r="J275" s="16">
        <v>22</v>
      </c>
      <c r="K275" s="16" t="str">
        <f t="shared" si="17"/>
        <v>Médio</v>
      </c>
      <c r="L275" s="16" t="s">
        <v>14</v>
      </c>
      <c r="M275" s="19">
        <v>62000</v>
      </c>
      <c r="N275" s="16" t="str">
        <f t="shared" si="16"/>
        <v>Aprovado</v>
      </c>
      <c r="O275" s="16" t="str">
        <f t="shared" si="18"/>
        <v>Aprovado</v>
      </c>
      <c r="P275" s="29">
        <f t="shared" si="19"/>
        <v>4960</v>
      </c>
    </row>
    <row r="276" spans="1:16" x14ac:dyDescent="0.3">
      <c r="A276" s="20" t="s">
        <v>171</v>
      </c>
      <c r="B276" s="16" t="s">
        <v>395</v>
      </c>
      <c r="C276" s="44">
        <v>0</v>
      </c>
      <c r="D276" s="20">
        <v>24</v>
      </c>
      <c r="E276" s="17">
        <v>37290</v>
      </c>
      <c r="F276" s="16" t="s">
        <v>132</v>
      </c>
      <c r="G276" s="16" t="s">
        <v>23</v>
      </c>
      <c r="H276" s="18">
        <v>6400</v>
      </c>
      <c r="I276" s="19">
        <v>41000</v>
      </c>
      <c r="J276" s="16">
        <v>22</v>
      </c>
      <c r="K276" s="16" t="str">
        <f t="shared" si="17"/>
        <v>Médio</v>
      </c>
      <c r="L276" s="16" t="s">
        <v>14</v>
      </c>
      <c r="M276" s="19">
        <v>74500</v>
      </c>
      <c r="N276" s="16" t="str">
        <f t="shared" si="16"/>
        <v>Aprovado</v>
      </c>
      <c r="O276" s="16" t="str">
        <f t="shared" si="18"/>
        <v>Aprovado</v>
      </c>
      <c r="P276" s="29">
        <f t="shared" si="19"/>
        <v>5960</v>
      </c>
    </row>
    <row r="277" spans="1:16" x14ac:dyDescent="0.3">
      <c r="A277" s="20" t="s">
        <v>171</v>
      </c>
      <c r="B277" s="16" t="s">
        <v>396</v>
      </c>
      <c r="C277" s="44">
        <v>10900</v>
      </c>
      <c r="D277" s="20">
        <v>64</v>
      </c>
      <c r="E277" s="17">
        <v>22845</v>
      </c>
      <c r="F277" s="16" t="s">
        <v>143</v>
      </c>
      <c r="G277" s="16" t="s">
        <v>17</v>
      </c>
      <c r="H277" s="18">
        <v>12700</v>
      </c>
      <c r="I277" s="19">
        <v>0</v>
      </c>
      <c r="J277" s="16">
        <v>21</v>
      </c>
      <c r="K277" s="16" t="str">
        <f t="shared" si="17"/>
        <v>Médio</v>
      </c>
      <c r="L277" s="16" t="s">
        <v>14</v>
      </c>
      <c r="M277" s="19">
        <v>50500</v>
      </c>
      <c r="N277" s="16" t="str">
        <f t="shared" ref="N277:N340" si="20">IF(AND(K277="Alto",L277="Sim"),"Negado","Aprovado")</f>
        <v>Aprovado</v>
      </c>
      <c r="O277" s="16" t="str">
        <f t="shared" si="18"/>
        <v>Aprovado</v>
      </c>
      <c r="P277" s="29">
        <f t="shared" si="19"/>
        <v>4040</v>
      </c>
    </row>
    <row r="278" spans="1:16" x14ac:dyDescent="0.3">
      <c r="A278" s="20" t="s">
        <v>171</v>
      </c>
      <c r="B278" s="16" t="s">
        <v>397</v>
      </c>
      <c r="C278" s="44">
        <v>25300</v>
      </c>
      <c r="D278" s="20">
        <v>60</v>
      </c>
      <c r="E278" s="17">
        <v>24272</v>
      </c>
      <c r="F278" s="16" t="s">
        <v>154</v>
      </c>
      <c r="G278" s="16" t="s">
        <v>23</v>
      </c>
      <c r="H278" s="18">
        <v>17300</v>
      </c>
      <c r="I278" s="19">
        <v>15000</v>
      </c>
      <c r="J278" s="16">
        <v>17</v>
      </c>
      <c r="K278" s="16" t="str">
        <f t="shared" si="17"/>
        <v>Médio</v>
      </c>
      <c r="L278" s="16" t="s">
        <v>14</v>
      </c>
      <c r="M278" s="19">
        <v>69000</v>
      </c>
      <c r="N278" s="16" t="str">
        <f t="shared" si="20"/>
        <v>Aprovado</v>
      </c>
      <c r="O278" s="16" t="str">
        <f t="shared" si="18"/>
        <v>Aprovado</v>
      </c>
      <c r="P278" s="29">
        <f t="shared" si="19"/>
        <v>5520</v>
      </c>
    </row>
    <row r="279" spans="1:16" x14ac:dyDescent="0.3">
      <c r="A279" s="20" t="s">
        <v>172</v>
      </c>
      <c r="B279" s="16" t="s">
        <v>398</v>
      </c>
      <c r="C279" s="44">
        <v>11900</v>
      </c>
      <c r="D279" s="20">
        <v>33</v>
      </c>
      <c r="E279" s="17">
        <v>34082</v>
      </c>
      <c r="F279" s="16" t="s">
        <v>133</v>
      </c>
      <c r="G279" s="16" t="s">
        <v>27</v>
      </c>
      <c r="H279" s="18">
        <v>23600</v>
      </c>
      <c r="I279" s="19">
        <v>75500</v>
      </c>
      <c r="J279" s="16">
        <v>16</v>
      </c>
      <c r="K279" s="16" t="str">
        <f t="shared" si="17"/>
        <v>Médio</v>
      </c>
      <c r="L279" s="16" t="s">
        <v>14</v>
      </c>
      <c r="M279" s="19">
        <v>88000</v>
      </c>
      <c r="N279" s="16" t="str">
        <f t="shared" si="20"/>
        <v>Aprovado</v>
      </c>
      <c r="O279" s="16" t="str">
        <f t="shared" si="18"/>
        <v>Aprovado</v>
      </c>
      <c r="P279" s="29">
        <f t="shared" si="19"/>
        <v>0</v>
      </c>
    </row>
    <row r="280" spans="1:16" x14ac:dyDescent="0.3">
      <c r="A280" s="20" t="s">
        <v>171</v>
      </c>
      <c r="B280" s="16" t="s">
        <v>399</v>
      </c>
      <c r="C280" s="44">
        <v>0</v>
      </c>
      <c r="D280" s="20">
        <v>26</v>
      </c>
      <c r="E280" s="17">
        <v>36596</v>
      </c>
      <c r="F280" s="16" t="s">
        <v>140</v>
      </c>
      <c r="G280" s="16" t="s">
        <v>17</v>
      </c>
      <c r="H280" s="18">
        <v>3500</v>
      </c>
      <c r="I280" s="19">
        <v>50000</v>
      </c>
      <c r="J280" s="16">
        <v>40</v>
      </c>
      <c r="K280" s="16" t="str">
        <f t="shared" si="17"/>
        <v>Alto</v>
      </c>
      <c r="L280" s="16" t="s">
        <v>14</v>
      </c>
      <c r="M280" s="19">
        <v>46500</v>
      </c>
      <c r="N280" s="16" t="str">
        <f t="shared" si="20"/>
        <v>Aprovado</v>
      </c>
      <c r="O280" s="16" t="str">
        <f t="shared" si="18"/>
        <v>Aprovado</v>
      </c>
      <c r="P280" s="29">
        <f t="shared" si="19"/>
        <v>3720</v>
      </c>
    </row>
    <row r="281" spans="1:16" x14ac:dyDescent="0.3">
      <c r="A281" s="20" t="s">
        <v>171</v>
      </c>
      <c r="B281" s="16" t="s">
        <v>400</v>
      </c>
      <c r="C281" s="44">
        <v>34200</v>
      </c>
      <c r="D281" s="20">
        <v>51</v>
      </c>
      <c r="E281" s="17">
        <v>27413</v>
      </c>
      <c r="F281" s="16" t="s">
        <v>143</v>
      </c>
      <c r="G281" s="16" t="s">
        <v>17</v>
      </c>
      <c r="H281" s="18">
        <v>18500</v>
      </c>
      <c r="I281" s="19">
        <v>69500</v>
      </c>
      <c r="J281" s="16">
        <v>31</v>
      </c>
      <c r="K281" s="16" t="str">
        <f t="shared" si="17"/>
        <v>Alto</v>
      </c>
      <c r="L281" s="16" t="s">
        <v>14</v>
      </c>
      <c r="M281" s="19">
        <v>18000</v>
      </c>
      <c r="N281" s="16" t="str">
        <f t="shared" si="20"/>
        <v>Aprovado</v>
      </c>
      <c r="O281" s="16" t="str">
        <f t="shared" si="18"/>
        <v>Aprovado</v>
      </c>
      <c r="P281" s="29">
        <f t="shared" si="19"/>
        <v>1440</v>
      </c>
    </row>
    <row r="282" spans="1:16" x14ac:dyDescent="0.3">
      <c r="A282" s="20" t="s">
        <v>171</v>
      </c>
      <c r="B282" s="16" t="s">
        <v>401</v>
      </c>
      <c r="C282" s="44">
        <v>24700</v>
      </c>
      <c r="D282" s="20">
        <v>19</v>
      </c>
      <c r="E282" s="17">
        <v>39220</v>
      </c>
      <c r="F282" s="16" t="s">
        <v>142</v>
      </c>
      <c r="G282" s="16" t="s">
        <v>23</v>
      </c>
      <c r="H282" s="18">
        <v>18000</v>
      </c>
      <c r="I282" s="19">
        <v>50500</v>
      </c>
      <c r="J282" s="16">
        <v>11</v>
      </c>
      <c r="K282" s="16" t="str">
        <f t="shared" si="17"/>
        <v>Médio</v>
      </c>
      <c r="L282" s="16" t="s">
        <v>13</v>
      </c>
      <c r="M282" s="19">
        <v>26000</v>
      </c>
      <c r="N282" s="16" t="str">
        <f t="shared" si="20"/>
        <v>Aprovado</v>
      </c>
      <c r="O282" s="16" t="str">
        <f t="shared" si="18"/>
        <v>Negado</v>
      </c>
      <c r="P282" s="29">
        <f t="shared" si="19"/>
        <v>2080</v>
      </c>
    </row>
    <row r="283" spans="1:16" x14ac:dyDescent="0.3">
      <c r="A283" s="20" t="s">
        <v>171</v>
      </c>
      <c r="B283" s="16" t="s">
        <v>402</v>
      </c>
      <c r="C283" s="44">
        <v>6600</v>
      </c>
      <c r="D283" s="20">
        <v>24</v>
      </c>
      <c r="E283" s="17">
        <v>37435</v>
      </c>
      <c r="F283" s="16" t="s">
        <v>148</v>
      </c>
      <c r="G283" s="16" t="s">
        <v>25</v>
      </c>
      <c r="H283" s="18">
        <v>6100</v>
      </c>
      <c r="I283" s="19">
        <v>0</v>
      </c>
      <c r="J283" s="16">
        <v>15</v>
      </c>
      <c r="K283" s="16" t="str">
        <f t="shared" si="17"/>
        <v>Médio</v>
      </c>
      <c r="L283" s="16" t="s">
        <v>14</v>
      </c>
      <c r="M283" s="19">
        <v>67000</v>
      </c>
      <c r="N283" s="16" t="str">
        <f t="shared" si="20"/>
        <v>Aprovado</v>
      </c>
      <c r="O283" s="16" t="str">
        <f t="shared" si="18"/>
        <v>Aprovado</v>
      </c>
      <c r="P283" s="29">
        <f t="shared" si="19"/>
        <v>5360</v>
      </c>
    </row>
    <row r="284" spans="1:16" x14ac:dyDescent="0.3">
      <c r="A284" s="20" t="s">
        <v>171</v>
      </c>
      <c r="B284" s="16" t="s">
        <v>403</v>
      </c>
      <c r="C284" s="44">
        <v>1300</v>
      </c>
      <c r="D284" s="20">
        <v>60</v>
      </c>
      <c r="E284" s="17">
        <v>24202</v>
      </c>
      <c r="F284" s="16" t="s">
        <v>134</v>
      </c>
      <c r="G284" s="16" t="s">
        <v>15</v>
      </c>
      <c r="H284" s="18">
        <v>5500</v>
      </c>
      <c r="I284" s="19">
        <v>0</v>
      </c>
      <c r="J284" s="16">
        <v>26</v>
      </c>
      <c r="K284" s="16" t="str">
        <f t="shared" si="17"/>
        <v>Alto</v>
      </c>
      <c r="L284" s="16" t="s">
        <v>14</v>
      </c>
      <c r="M284" s="19">
        <v>52500</v>
      </c>
      <c r="N284" s="16" t="str">
        <f t="shared" si="20"/>
        <v>Aprovado</v>
      </c>
      <c r="O284" s="16" t="str">
        <f t="shared" si="18"/>
        <v>Aprovado</v>
      </c>
      <c r="P284" s="29">
        <f t="shared" si="19"/>
        <v>4200</v>
      </c>
    </row>
    <row r="285" spans="1:16" x14ac:dyDescent="0.3">
      <c r="A285" s="20" t="s">
        <v>171</v>
      </c>
      <c r="B285" s="16" t="s">
        <v>404</v>
      </c>
      <c r="C285" s="44">
        <v>7800</v>
      </c>
      <c r="D285" s="20">
        <v>35</v>
      </c>
      <c r="E285" s="17">
        <v>33306</v>
      </c>
      <c r="F285" s="16" t="s">
        <v>150</v>
      </c>
      <c r="G285" s="16" t="s">
        <v>15</v>
      </c>
      <c r="H285" s="19">
        <v>9700</v>
      </c>
      <c r="I285" s="19">
        <v>0</v>
      </c>
      <c r="J285" s="16">
        <v>20</v>
      </c>
      <c r="K285" s="16" t="str">
        <f t="shared" si="17"/>
        <v>Médio</v>
      </c>
      <c r="L285" s="16" t="s">
        <v>14</v>
      </c>
      <c r="M285" s="19">
        <v>31000</v>
      </c>
      <c r="N285" s="16" t="str">
        <f t="shared" si="20"/>
        <v>Aprovado</v>
      </c>
      <c r="O285" s="16" t="str">
        <f t="shared" si="18"/>
        <v>Aprovado</v>
      </c>
      <c r="P285" s="29">
        <f t="shared" si="19"/>
        <v>2480</v>
      </c>
    </row>
    <row r="286" spans="1:16" x14ac:dyDescent="0.3">
      <c r="A286" s="20" t="s">
        <v>171</v>
      </c>
      <c r="B286" s="16" t="s">
        <v>405</v>
      </c>
      <c r="C286" s="44">
        <v>0</v>
      </c>
      <c r="D286" s="20">
        <v>26</v>
      </c>
      <c r="E286" s="17">
        <v>36573</v>
      </c>
      <c r="F286" s="16" t="s">
        <v>151</v>
      </c>
      <c r="G286" s="16" t="s">
        <v>164</v>
      </c>
      <c r="H286" s="18">
        <v>4800</v>
      </c>
      <c r="I286" s="19">
        <v>48500</v>
      </c>
      <c r="J286" s="16">
        <v>6</v>
      </c>
      <c r="K286" s="16" t="str">
        <f t="shared" si="17"/>
        <v>Baixo</v>
      </c>
      <c r="L286" s="16" t="s">
        <v>13</v>
      </c>
      <c r="M286" s="19">
        <v>56500</v>
      </c>
      <c r="N286" s="16" t="str">
        <f t="shared" si="20"/>
        <v>Aprovado</v>
      </c>
      <c r="O286" s="16" t="str">
        <f t="shared" si="18"/>
        <v>Aprovado</v>
      </c>
      <c r="P286" s="29">
        <f t="shared" si="19"/>
        <v>4520</v>
      </c>
    </row>
    <row r="287" spans="1:16" x14ac:dyDescent="0.3">
      <c r="A287" s="20" t="s">
        <v>171</v>
      </c>
      <c r="B287" s="16" t="s">
        <v>405</v>
      </c>
      <c r="C287" s="44">
        <v>8800</v>
      </c>
      <c r="D287" s="20">
        <v>74</v>
      </c>
      <c r="E287" s="17">
        <v>19121</v>
      </c>
      <c r="F287" s="16" t="s">
        <v>135</v>
      </c>
      <c r="G287" s="16" t="s">
        <v>17</v>
      </c>
      <c r="H287" s="18">
        <v>7300</v>
      </c>
      <c r="I287" s="19">
        <v>1000</v>
      </c>
      <c r="J287" s="16">
        <v>3</v>
      </c>
      <c r="K287" s="16" t="str">
        <f t="shared" si="17"/>
        <v>Baixo</v>
      </c>
      <c r="L287" s="16" t="s">
        <v>14</v>
      </c>
      <c r="M287" s="19">
        <v>50500</v>
      </c>
      <c r="N287" s="16" t="str">
        <f t="shared" si="20"/>
        <v>Aprovado</v>
      </c>
      <c r="O287" s="16" t="str">
        <f t="shared" si="18"/>
        <v>Aprovado</v>
      </c>
      <c r="P287" s="29">
        <f t="shared" si="19"/>
        <v>4040</v>
      </c>
    </row>
    <row r="288" spans="1:16" x14ac:dyDescent="0.3">
      <c r="A288" s="20" t="s">
        <v>171</v>
      </c>
      <c r="B288" s="16" t="s">
        <v>405</v>
      </c>
      <c r="C288" s="44">
        <v>0</v>
      </c>
      <c r="D288" s="20">
        <f ca="1">DATEDIF(E288,TODAY(),"Y")</f>
        <v>35</v>
      </c>
      <c r="E288" s="17">
        <v>33473</v>
      </c>
      <c r="F288" s="16" t="s">
        <v>148</v>
      </c>
      <c r="G288" s="16" t="s">
        <v>25</v>
      </c>
      <c r="H288" s="18">
        <v>24000</v>
      </c>
      <c r="I288" s="19">
        <v>0</v>
      </c>
      <c r="J288" s="16">
        <v>3</v>
      </c>
      <c r="K288" s="16" t="str">
        <f t="shared" si="17"/>
        <v>Baixo</v>
      </c>
      <c r="L288" s="16" t="s">
        <v>13</v>
      </c>
      <c r="M288" s="19">
        <v>60000</v>
      </c>
      <c r="N288" s="16" t="str">
        <f t="shared" si="20"/>
        <v>Aprovado</v>
      </c>
      <c r="O288" s="16" t="str">
        <f t="shared" si="18"/>
        <v>Aprovado</v>
      </c>
      <c r="P288" s="29">
        <f t="shared" si="19"/>
        <v>4800</v>
      </c>
    </row>
    <row r="289" spans="1:16" x14ac:dyDescent="0.3">
      <c r="A289" s="20" t="s">
        <v>171</v>
      </c>
      <c r="B289" s="16" t="s">
        <v>406</v>
      </c>
      <c r="C289" s="44">
        <v>19700</v>
      </c>
      <c r="D289" s="20">
        <v>53</v>
      </c>
      <c r="E289" s="17">
        <v>26898</v>
      </c>
      <c r="F289" s="16" t="s">
        <v>143</v>
      </c>
      <c r="G289" s="16" t="s">
        <v>17</v>
      </c>
      <c r="H289" s="18">
        <v>27100</v>
      </c>
      <c r="I289" s="19">
        <v>68000</v>
      </c>
      <c r="J289" s="16">
        <v>40</v>
      </c>
      <c r="K289" s="16" t="str">
        <f t="shared" si="17"/>
        <v>Alto</v>
      </c>
      <c r="L289" s="16" t="s">
        <v>14</v>
      </c>
      <c r="M289" s="19">
        <v>49500</v>
      </c>
      <c r="N289" s="16" t="str">
        <f t="shared" si="20"/>
        <v>Aprovado</v>
      </c>
      <c r="O289" s="16" t="str">
        <f t="shared" si="18"/>
        <v>Aprovado</v>
      </c>
      <c r="P289" s="29">
        <f t="shared" si="19"/>
        <v>3960</v>
      </c>
    </row>
    <row r="290" spans="1:16" x14ac:dyDescent="0.3">
      <c r="A290" s="20" t="s">
        <v>171</v>
      </c>
      <c r="B290" s="16" t="s">
        <v>407</v>
      </c>
      <c r="C290" s="44">
        <v>15000</v>
      </c>
      <c r="D290" s="20">
        <v>73</v>
      </c>
      <c r="E290" s="17">
        <v>19588</v>
      </c>
      <c r="F290" s="16" t="s">
        <v>143</v>
      </c>
      <c r="G290" s="16" t="s">
        <v>17</v>
      </c>
      <c r="H290" s="18">
        <v>28600</v>
      </c>
      <c r="I290" s="19">
        <v>40500</v>
      </c>
      <c r="J290" s="16">
        <v>20</v>
      </c>
      <c r="K290" s="16" t="str">
        <f t="shared" si="17"/>
        <v>Médio</v>
      </c>
      <c r="L290" s="16" t="s">
        <v>14</v>
      </c>
      <c r="M290" s="19">
        <v>2500</v>
      </c>
      <c r="N290" s="16" t="str">
        <f t="shared" si="20"/>
        <v>Aprovado</v>
      </c>
      <c r="O290" s="16" t="str">
        <f t="shared" si="18"/>
        <v>Aprovado</v>
      </c>
      <c r="P290" s="29">
        <f t="shared" si="19"/>
        <v>200</v>
      </c>
    </row>
    <row r="291" spans="1:16" x14ac:dyDescent="0.3">
      <c r="A291" s="20" t="s">
        <v>171</v>
      </c>
      <c r="B291" s="16" t="s">
        <v>408</v>
      </c>
      <c r="C291" s="44">
        <v>29800</v>
      </c>
      <c r="D291" s="20">
        <v>19</v>
      </c>
      <c r="E291" s="17">
        <v>39003</v>
      </c>
      <c r="F291" s="16" t="s">
        <v>140</v>
      </c>
      <c r="G291" s="16" t="s">
        <v>17</v>
      </c>
      <c r="H291" s="18">
        <v>4000</v>
      </c>
      <c r="I291" s="19">
        <v>29500</v>
      </c>
      <c r="J291" s="16">
        <v>13</v>
      </c>
      <c r="K291" s="16" t="str">
        <f t="shared" si="17"/>
        <v>Médio</v>
      </c>
      <c r="L291" s="16" t="s">
        <v>13</v>
      </c>
      <c r="M291" s="19">
        <v>5000</v>
      </c>
      <c r="N291" s="16" t="str">
        <f t="shared" si="20"/>
        <v>Aprovado</v>
      </c>
      <c r="O291" s="16" t="str">
        <f t="shared" si="18"/>
        <v>Aprovado</v>
      </c>
      <c r="P291" s="29">
        <f t="shared" si="19"/>
        <v>400</v>
      </c>
    </row>
    <row r="292" spans="1:16" x14ac:dyDescent="0.3">
      <c r="A292" s="20" t="s">
        <v>171</v>
      </c>
      <c r="B292" s="16" t="s">
        <v>409</v>
      </c>
      <c r="C292" s="44">
        <v>36500</v>
      </c>
      <c r="D292" s="20">
        <v>54</v>
      </c>
      <c r="E292" s="17">
        <v>26382</v>
      </c>
      <c r="F292" s="16" t="s">
        <v>150</v>
      </c>
      <c r="G292" s="16" t="s">
        <v>15</v>
      </c>
      <c r="H292" s="18">
        <v>22100</v>
      </c>
      <c r="I292" s="19">
        <v>37000</v>
      </c>
      <c r="J292" s="16">
        <v>34</v>
      </c>
      <c r="K292" s="16" t="str">
        <f t="shared" si="17"/>
        <v>Alto</v>
      </c>
      <c r="L292" s="16" t="s">
        <v>14</v>
      </c>
      <c r="M292" s="19">
        <v>87000</v>
      </c>
      <c r="N292" s="16" t="str">
        <f t="shared" si="20"/>
        <v>Aprovado</v>
      </c>
      <c r="O292" s="16" t="str">
        <f t="shared" si="18"/>
        <v>Aprovado</v>
      </c>
      <c r="P292" s="29">
        <f t="shared" si="19"/>
        <v>6960</v>
      </c>
    </row>
    <row r="293" spans="1:16" x14ac:dyDescent="0.3">
      <c r="A293" s="20" t="s">
        <v>171</v>
      </c>
      <c r="B293" s="16" t="s">
        <v>410</v>
      </c>
      <c r="C293" s="44">
        <v>30400</v>
      </c>
      <c r="D293" s="20">
        <v>18</v>
      </c>
      <c r="E293" s="17">
        <v>39338</v>
      </c>
      <c r="F293" s="16" t="s">
        <v>143</v>
      </c>
      <c r="G293" s="16" t="s">
        <v>17</v>
      </c>
      <c r="H293" s="18">
        <v>14100</v>
      </c>
      <c r="I293" s="19">
        <v>38500</v>
      </c>
      <c r="J293" s="16">
        <v>7</v>
      </c>
      <c r="K293" s="16" t="str">
        <f t="shared" si="17"/>
        <v>Baixo</v>
      </c>
      <c r="L293" s="16" t="s">
        <v>14</v>
      </c>
      <c r="M293" s="19">
        <v>11000</v>
      </c>
      <c r="N293" s="16" t="str">
        <f t="shared" si="20"/>
        <v>Aprovado</v>
      </c>
      <c r="O293" s="16" t="str">
        <f t="shared" si="18"/>
        <v>Aprovado</v>
      </c>
      <c r="P293" s="29">
        <f t="shared" si="19"/>
        <v>880</v>
      </c>
    </row>
    <row r="294" spans="1:16" x14ac:dyDescent="0.3">
      <c r="A294" s="20" t="s">
        <v>171</v>
      </c>
      <c r="B294" s="16" t="s">
        <v>411</v>
      </c>
      <c r="C294" s="44">
        <v>22700</v>
      </c>
      <c r="D294" s="20">
        <v>25</v>
      </c>
      <c r="E294" s="17">
        <v>37056</v>
      </c>
      <c r="F294" s="16" t="s">
        <v>143</v>
      </c>
      <c r="G294" s="16" t="s">
        <v>17</v>
      </c>
      <c r="H294" s="18">
        <v>25400</v>
      </c>
      <c r="I294" s="19">
        <v>4000</v>
      </c>
      <c r="J294" s="16">
        <v>4</v>
      </c>
      <c r="K294" s="16" t="str">
        <f t="shared" si="17"/>
        <v>Baixo</v>
      </c>
      <c r="L294" s="16" t="s">
        <v>14</v>
      </c>
      <c r="M294" s="19">
        <v>8500</v>
      </c>
      <c r="N294" s="16" t="str">
        <f t="shared" si="20"/>
        <v>Aprovado</v>
      </c>
      <c r="O294" s="16" t="str">
        <f t="shared" si="18"/>
        <v>Aprovado</v>
      </c>
      <c r="P294" s="29">
        <f t="shared" si="19"/>
        <v>680</v>
      </c>
    </row>
    <row r="295" spans="1:16" x14ac:dyDescent="0.3">
      <c r="A295" s="20" t="s">
        <v>171</v>
      </c>
      <c r="B295" s="16" t="s">
        <v>412</v>
      </c>
      <c r="C295" s="44">
        <v>24600</v>
      </c>
      <c r="D295" s="20">
        <f ca="1">DATEDIF(E295,TODAY(),"Y")</f>
        <v>29</v>
      </c>
      <c r="E295" s="17">
        <v>35600</v>
      </c>
      <c r="F295" s="16" t="s">
        <v>149</v>
      </c>
      <c r="G295" s="16" t="s">
        <v>16</v>
      </c>
      <c r="H295" s="18">
        <v>9600</v>
      </c>
      <c r="I295" s="19">
        <v>41000</v>
      </c>
      <c r="J295" s="16">
        <v>27</v>
      </c>
      <c r="K295" s="16" t="str">
        <f t="shared" si="17"/>
        <v>Alto</v>
      </c>
      <c r="L295" s="16" t="s">
        <v>14</v>
      </c>
      <c r="M295" s="19">
        <v>25000</v>
      </c>
      <c r="N295" s="16" t="str">
        <f t="shared" si="20"/>
        <v>Aprovado</v>
      </c>
      <c r="O295" s="16" t="str">
        <f t="shared" si="18"/>
        <v>Aprovado</v>
      </c>
      <c r="P295" s="29">
        <f t="shared" si="19"/>
        <v>2000</v>
      </c>
    </row>
    <row r="296" spans="1:16" x14ac:dyDescent="0.3">
      <c r="A296" s="20" t="s">
        <v>171</v>
      </c>
      <c r="B296" s="16" t="s">
        <v>413</v>
      </c>
      <c r="C296" s="44">
        <v>22800</v>
      </c>
      <c r="D296" s="20">
        <v>65</v>
      </c>
      <c r="E296" s="17">
        <v>22505</v>
      </c>
      <c r="F296" s="16" t="s">
        <v>140</v>
      </c>
      <c r="G296" s="16" t="s">
        <v>17</v>
      </c>
      <c r="H296" s="18">
        <v>29000</v>
      </c>
      <c r="I296" s="19">
        <v>28500</v>
      </c>
      <c r="J296" s="16">
        <v>28</v>
      </c>
      <c r="K296" s="16" t="str">
        <f t="shared" si="17"/>
        <v>Alto</v>
      </c>
      <c r="L296" s="16" t="s">
        <v>14</v>
      </c>
      <c r="M296" s="19">
        <v>57500</v>
      </c>
      <c r="N296" s="16" t="str">
        <f t="shared" si="20"/>
        <v>Aprovado</v>
      </c>
      <c r="O296" s="16" t="str">
        <f t="shared" si="18"/>
        <v>Aprovado</v>
      </c>
      <c r="P296" s="29">
        <f t="shared" si="19"/>
        <v>4600</v>
      </c>
    </row>
    <row r="297" spans="1:16" x14ac:dyDescent="0.3">
      <c r="A297" s="20" t="s">
        <v>171</v>
      </c>
      <c r="B297" s="16" t="s">
        <v>38</v>
      </c>
      <c r="C297" s="44">
        <v>0</v>
      </c>
      <c r="D297" s="20">
        <v>48</v>
      </c>
      <c r="E297" s="17">
        <v>28509</v>
      </c>
      <c r="F297" s="16" t="s">
        <v>149</v>
      </c>
      <c r="G297" s="16" t="s">
        <v>16</v>
      </c>
      <c r="H297" s="18">
        <v>17800</v>
      </c>
      <c r="I297" s="19">
        <v>9000</v>
      </c>
      <c r="J297" s="16">
        <v>28</v>
      </c>
      <c r="K297" s="16" t="str">
        <f t="shared" si="17"/>
        <v>Alto</v>
      </c>
      <c r="L297" s="16" t="s">
        <v>14</v>
      </c>
      <c r="M297" s="19">
        <v>80000</v>
      </c>
      <c r="N297" s="16" t="str">
        <f t="shared" si="20"/>
        <v>Aprovado</v>
      </c>
      <c r="O297" s="16" t="str">
        <f t="shared" si="18"/>
        <v>Aprovado</v>
      </c>
      <c r="P297" s="29">
        <f t="shared" si="19"/>
        <v>6400</v>
      </c>
    </row>
    <row r="298" spans="1:16" x14ac:dyDescent="0.3">
      <c r="A298" s="20" t="s">
        <v>171</v>
      </c>
      <c r="B298" s="16" t="s">
        <v>414</v>
      </c>
      <c r="C298" s="44">
        <v>25900</v>
      </c>
      <c r="D298" s="20">
        <v>73</v>
      </c>
      <c r="E298" s="17">
        <v>19363</v>
      </c>
      <c r="F298" s="16" t="s">
        <v>132</v>
      </c>
      <c r="G298" s="16" t="s">
        <v>23</v>
      </c>
      <c r="H298" s="18">
        <v>23000</v>
      </c>
      <c r="I298" s="19">
        <v>19000</v>
      </c>
      <c r="J298" s="16">
        <v>0</v>
      </c>
      <c r="K298" s="16" t="str">
        <f t="shared" si="17"/>
        <v>Baixo</v>
      </c>
      <c r="L298" s="16" t="s">
        <v>14</v>
      </c>
      <c r="M298" s="19">
        <v>17000</v>
      </c>
      <c r="N298" s="16" t="str">
        <f t="shared" si="20"/>
        <v>Aprovado</v>
      </c>
      <c r="O298" s="16" t="str">
        <f t="shared" si="18"/>
        <v>Aprovado</v>
      </c>
      <c r="P298" s="29">
        <f t="shared" si="19"/>
        <v>1360</v>
      </c>
    </row>
    <row r="299" spans="1:16" x14ac:dyDescent="0.3">
      <c r="A299" s="20" t="s">
        <v>171</v>
      </c>
      <c r="B299" s="16" t="s">
        <v>414</v>
      </c>
      <c r="C299" s="44">
        <v>0</v>
      </c>
      <c r="D299" s="20">
        <v>41</v>
      </c>
      <c r="E299" s="17">
        <v>31115</v>
      </c>
      <c r="F299" s="16" t="s">
        <v>135</v>
      </c>
      <c r="G299" s="16" t="s">
        <v>17</v>
      </c>
      <c r="H299" s="18">
        <v>23100</v>
      </c>
      <c r="I299" s="19">
        <v>36000</v>
      </c>
      <c r="J299" s="16">
        <v>19</v>
      </c>
      <c r="K299" s="16" t="str">
        <f t="shared" si="17"/>
        <v>Médio</v>
      </c>
      <c r="L299" s="16" t="s">
        <v>14</v>
      </c>
      <c r="M299" s="19">
        <v>37500</v>
      </c>
      <c r="N299" s="16" t="str">
        <f t="shared" si="20"/>
        <v>Aprovado</v>
      </c>
      <c r="O299" s="16" t="str">
        <f t="shared" si="18"/>
        <v>Aprovado</v>
      </c>
      <c r="P299" s="29">
        <f t="shared" si="19"/>
        <v>3000</v>
      </c>
    </row>
    <row r="300" spans="1:16" x14ac:dyDescent="0.3">
      <c r="A300" s="20" t="s">
        <v>171</v>
      </c>
      <c r="B300" s="16" t="s">
        <v>415</v>
      </c>
      <c r="C300" s="44">
        <v>18400</v>
      </c>
      <c r="D300" s="20">
        <f ca="1">DATEDIF(E300,TODAY(),"Y")</f>
        <v>68</v>
      </c>
      <c r="E300" s="17">
        <v>21378</v>
      </c>
      <c r="F300" s="16" t="s">
        <v>133</v>
      </c>
      <c r="G300" s="16" t="s">
        <v>130</v>
      </c>
      <c r="H300" s="18">
        <v>14300</v>
      </c>
      <c r="I300" s="19">
        <v>32500</v>
      </c>
      <c r="J300" s="16">
        <v>15</v>
      </c>
      <c r="K300" s="16" t="str">
        <f t="shared" si="17"/>
        <v>Médio</v>
      </c>
      <c r="L300" s="16" t="s">
        <v>13</v>
      </c>
      <c r="M300" s="19">
        <v>8000</v>
      </c>
      <c r="N300" s="16" t="str">
        <f t="shared" si="20"/>
        <v>Aprovado</v>
      </c>
      <c r="O300" s="16" t="str">
        <f t="shared" si="18"/>
        <v>Aprovado</v>
      </c>
      <c r="P300" s="29">
        <f t="shared" si="19"/>
        <v>640</v>
      </c>
    </row>
    <row r="301" spans="1:16" x14ac:dyDescent="0.3">
      <c r="A301" s="20" t="s">
        <v>171</v>
      </c>
      <c r="B301" s="16" t="s">
        <v>416</v>
      </c>
      <c r="C301" s="44">
        <v>3700</v>
      </c>
      <c r="D301" s="20">
        <v>25</v>
      </c>
      <c r="E301" s="17">
        <v>36824</v>
      </c>
      <c r="F301" s="16" t="s">
        <v>135</v>
      </c>
      <c r="G301" s="16" t="s">
        <v>17</v>
      </c>
      <c r="H301" s="18">
        <v>18300</v>
      </c>
      <c r="I301" s="19">
        <v>41000</v>
      </c>
      <c r="J301" s="16">
        <v>9</v>
      </c>
      <c r="K301" s="16" t="str">
        <f t="shared" si="17"/>
        <v>Baixo</v>
      </c>
      <c r="L301" s="16" t="s">
        <v>14</v>
      </c>
      <c r="M301" s="19">
        <v>32500</v>
      </c>
      <c r="N301" s="16" t="str">
        <f t="shared" si="20"/>
        <v>Aprovado</v>
      </c>
      <c r="O301" s="16" t="str">
        <f t="shared" si="18"/>
        <v>Aprovado</v>
      </c>
      <c r="P301" s="29">
        <f t="shared" si="19"/>
        <v>2600</v>
      </c>
    </row>
    <row r="302" spans="1:16" x14ac:dyDescent="0.3">
      <c r="A302" s="20" t="s">
        <v>172</v>
      </c>
      <c r="B302" s="16" t="s">
        <v>416</v>
      </c>
      <c r="C302" s="44">
        <v>0</v>
      </c>
      <c r="D302" s="20">
        <v>57</v>
      </c>
      <c r="E302" s="17">
        <v>25369</v>
      </c>
      <c r="F302" s="16" t="s">
        <v>138</v>
      </c>
      <c r="G302" s="16" t="s">
        <v>27</v>
      </c>
      <c r="H302" s="18">
        <v>28600</v>
      </c>
      <c r="I302" s="19">
        <v>73500</v>
      </c>
      <c r="J302" s="16">
        <v>29</v>
      </c>
      <c r="K302" s="16" t="str">
        <f t="shared" si="17"/>
        <v>Alto</v>
      </c>
      <c r="L302" s="16" t="s">
        <v>14</v>
      </c>
      <c r="M302" s="19">
        <v>93500</v>
      </c>
      <c r="N302" s="16" t="str">
        <f t="shared" si="20"/>
        <v>Aprovado</v>
      </c>
      <c r="O302" s="16" t="str">
        <f t="shared" si="18"/>
        <v>Aprovado</v>
      </c>
      <c r="P302" s="29">
        <f t="shared" si="19"/>
        <v>0</v>
      </c>
    </row>
    <row r="303" spans="1:16" x14ac:dyDescent="0.3">
      <c r="A303" s="20" t="s">
        <v>172</v>
      </c>
      <c r="B303" s="16" t="s">
        <v>417</v>
      </c>
      <c r="C303" s="44">
        <v>0</v>
      </c>
      <c r="D303" s="20">
        <v>53</v>
      </c>
      <c r="E303" s="17">
        <v>26744</v>
      </c>
      <c r="F303" s="16" t="s">
        <v>136</v>
      </c>
      <c r="G303" s="16" t="s">
        <v>28</v>
      </c>
      <c r="H303" s="18">
        <v>26400</v>
      </c>
      <c r="I303" s="19">
        <v>9500</v>
      </c>
      <c r="J303" s="16">
        <v>21</v>
      </c>
      <c r="K303" s="16" t="str">
        <f t="shared" si="17"/>
        <v>Médio</v>
      </c>
      <c r="L303" s="16" t="s">
        <v>14</v>
      </c>
      <c r="M303" s="19">
        <v>16000</v>
      </c>
      <c r="N303" s="16" t="str">
        <f t="shared" si="20"/>
        <v>Aprovado</v>
      </c>
      <c r="O303" s="16" t="str">
        <f t="shared" si="18"/>
        <v>Aprovado</v>
      </c>
      <c r="P303" s="29">
        <f t="shared" si="19"/>
        <v>0</v>
      </c>
    </row>
    <row r="304" spans="1:16" x14ac:dyDescent="0.3">
      <c r="A304" s="20" t="s">
        <v>172</v>
      </c>
      <c r="B304" s="16" t="s">
        <v>418</v>
      </c>
      <c r="C304" s="44">
        <v>6800</v>
      </c>
      <c r="D304" s="20">
        <v>57</v>
      </c>
      <c r="E304" s="17" t="s">
        <v>52</v>
      </c>
      <c r="F304" s="16" t="s">
        <v>154</v>
      </c>
      <c r="G304" s="16" t="s">
        <v>23</v>
      </c>
      <c r="H304" s="18">
        <v>26300</v>
      </c>
      <c r="I304" s="19">
        <v>75500</v>
      </c>
      <c r="J304" s="16">
        <v>25</v>
      </c>
      <c r="K304" s="16" t="str">
        <f t="shared" si="17"/>
        <v>Médio</v>
      </c>
      <c r="L304" s="16" t="s">
        <v>13</v>
      </c>
      <c r="M304" s="19">
        <v>44000</v>
      </c>
      <c r="N304" s="16" t="str">
        <f t="shared" si="20"/>
        <v>Aprovado</v>
      </c>
      <c r="O304" s="16" t="str">
        <f t="shared" si="18"/>
        <v>Negado</v>
      </c>
      <c r="P304" s="29">
        <f t="shared" si="19"/>
        <v>0</v>
      </c>
    </row>
    <row r="305" spans="1:16" x14ac:dyDescent="0.3">
      <c r="A305" s="20" t="s">
        <v>171</v>
      </c>
      <c r="B305" s="16" t="s">
        <v>419</v>
      </c>
      <c r="C305" s="44">
        <v>31500</v>
      </c>
      <c r="D305" s="20">
        <v>57</v>
      </c>
      <c r="E305" s="17">
        <v>25350</v>
      </c>
      <c r="F305" s="16" t="s">
        <v>149</v>
      </c>
      <c r="G305" s="16" t="s">
        <v>16</v>
      </c>
      <c r="H305" s="18">
        <v>20600</v>
      </c>
      <c r="I305" s="19">
        <v>52500</v>
      </c>
      <c r="J305" s="16">
        <v>16</v>
      </c>
      <c r="K305" s="16" t="str">
        <f t="shared" si="17"/>
        <v>Médio</v>
      </c>
      <c r="L305" s="16" t="s">
        <v>62</v>
      </c>
      <c r="M305" s="19">
        <v>97000</v>
      </c>
      <c r="N305" s="16" t="str">
        <f t="shared" si="20"/>
        <v>Aprovado</v>
      </c>
      <c r="O305" s="16" t="str">
        <f t="shared" si="18"/>
        <v>Aprovado</v>
      </c>
      <c r="P305" s="29">
        <f t="shared" si="19"/>
        <v>7760</v>
      </c>
    </row>
    <row r="306" spans="1:16" x14ac:dyDescent="0.3">
      <c r="A306" s="20" t="s">
        <v>171</v>
      </c>
      <c r="B306" s="16" t="s">
        <v>420</v>
      </c>
      <c r="C306" s="44">
        <v>100</v>
      </c>
      <c r="D306" s="20">
        <v>27</v>
      </c>
      <c r="E306" s="17">
        <v>36288</v>
      </c>
      <c r="F306" s="16" t="s">
        <v>153</v>
      </c>
      <c r="G306" s="16" t="s">
        <v>17</v>
      </c>
      <c r="H306" s="18">
        <v>29700</v>
      </c>
      <c r="I306" s="19">
        <v>12000</v>
      </c>
      <c r="J306" s="16">
        <v>37</v>
      </c>
      <c r="K306" s="16" t="str">
        <f t="shared" si="17"/>
        <v>Alto</v>
      </c>
      <c r="L306" s="16" t="s">
        <v>14</v>
      </c>
      <c r="M306" s="19">
        <v>49000</v>
      </c>
      <c r="N306" s="16" t="str">
        <f t="shared" si="20"/>
        <v>Aprovado</v>
      </c>
      <c r="O306" s="16" t="str">
        <f t="shared" si="18"/>
        <v>Aprovado</v>
      </c>
      <c r="P306" s="29">
        <f t="shared" si="19"/>
        <v>3920</v>
      </c>
    </row>
    <row r="307" spans="1:16" x14ac:dyDescent="0.3">
      <c r="A307" s="20" t="s">
        <v>171</v>
      </c>
      <c r="B307" s="16" t="s">
        <v>421</v>
      </c>
      <c r="C307" s="44">
        <v>10500</v>
      </c>
      <c r="D307" s="20">
        <v>25</v>
      </c>
      <c r="E307" s="17">
        <v>37118</v>
      </c>
      <c r="F307" s="16" t="s">
        <v>132</v>
      </c>
      <c r="G307" s="16" t="s">
        <v>23</v>
      </c>
      <c r="H307" s="18">
        <v>27300</v>
      </c>
      <c r="I307" s="19">
        <v>1500</v>
      </c>
      <c r="J307" s="16">
        <v>33</v>
      </c>
      <c r="K307" s="16" t="str">
        <f t="shared" si="17"/>
        <v>Alto</v>
      </c>
      <c r="L307" s="16" t="s">
        <v>13</v>
      </c>
      <c r="M307" s="19">
        <v>14000</v>
      </c>
      <c r="N307" s="16" t="str">
        <f t="shared" si="20"/>
        <v>Negado</v>
      </c>
      <c r="O307" s="16" t="str">
        <f t="shared" si="18"/>
        <v>Aprovado</v>
      </c>
      <c r="P307" s="29">
        <f t="shared" si="19"/>
        <v>1120</v>
      </c>
    </row>
    <row r="308" spans="1:16" x14ac:dyDescent="0.3">
      <c r="A308" s="20" t="s">
        <v>171</v>
      </c>
      <c r="B308" s="16" t="s">
        <v>422</v>
      </c>
      <c r="C308" s="44">
        <v>7500</v>
      </c>
      <c r="D308" s="20">
        <v>67</v>
      </c>
      <c r="E308" s="17">
        <v>21624</v>
      </c>
      <c r="F308" s="16" t="s">
        <v>153</v>
      </c>
      <c r="G308" s="16" t="s">
        <v>17</v>
      </c>
      <c r="H308" s="18">
        <v>8500</v>
      </c>
      <c r="I308" s="19">
        <v>39500</v>
      </c>
      <c r="J308" s="16">
        <v>0</v>
      </c>
      <c r="K308" s="16" t="str">
        <f t="shared" si="17"/>
        <v>Baixo</v>
      </c>
      <c r="L308" s="16" t="s">
        <v>13</v>
      </c>
      <c r="M308" s="19">
        <v>42000</v>
      </c>
      <c r="N308" s="16" t="str">
        <f t="shared" si="20"/>
        <v>Aprovado</v>
      </c>
      <c r="O308" s="16" t="str">
        <f t="shared" si="18"/>
        <v>Aprovado</v>
      </c>
      <c r="P308" s="29">
        <f t="shared" si="19"/>
        <v>3360</v>
      </c>
    </row>
    <row r="309" spans="1:16" x14ac:dyDescent="0.3">
      <c r="A309" s="20" t="s">
        <v>171</v>
      </c>
      <c r="B309" s="16" t="s">
        <v>423</v>
      </c>
      <c r="C309" s="44">
        <v>36600</v>
      </c>
      <c r="D309" s="20">
        <v>28</v>
      </c>
      <c r="E309" s="17">
        <v>35948</v>
      </c>
      <c r="F309" s="16" t="s">
        <v>156</v>
      </c>
      <c r="G309" s="16" t="s">
        <v>163</v>
      </c>
      <c r="H309" s="19">
        <v>14600</v>
      </c>
      <c r="I309" s="19">
        <v>23000</v>
      </c>
      <c r="J309" s="16">
        <v>22</v>
      </c>
      <c r="K309" s="16" t="str">
        <f t="shared" si="17"/>
        <v>Médio</v>
      </c>
      <c r="L309" s="16" t="s">
        <v>13</v>
      </c>
      <c r="M309" s="19">
        <v>99000</v>
      </c>
      <c r="N309" s="16" t="str">
        <f t="shared" si="20"/>
        <v>Aprovado</v>
      </c>
      <c r="O309" s="16" t="str">
        <f t="shared" si="18"/>
        <v>Aprovado</v>
      </c>
      <c r="P309" s="29">
        <f t="shared" si="19"/>
        <v>7920</v>
      </c>
    </row>
    <row r="310" spans="1:16" x14ac:dyDescent="0.3">
      <c r="A310" s="20" t="s">
        <v>171</v>
      </c>
      <c r="B310" s="16" t="s">
        <v>424</v>
      </c>
      <c r="C310" s="44">
        <v>0</v>
      </c>
      <c r="D310" s="20">
        <v>73</v>
      </c>
      <c r="E310" s="17">
        <v>19323</v>
      </c>
      <c r="F310" s="16" t="s">
        <v>148</v>
      </c>
      <c r="G310" s="16" t="s">
        <v>25</v>
      </c>
      <c r="H310" s="18">
        <v>18100</v>
      </c>
      <c r="I310" s="19">
        <v>0</v>
      </c>
      <c r="J310" s="16">
        <v>36</v>
      </c>
      <c r="K310" s="16" t="str">
        <f t="shared" si="17"/>
        <v>Alto</v>
      </c>
      <c r="L310" s="16" t="s">
        <v>14</v>
      </c>
      <c r="M310" s="19">
        <v>89000</v>
      </c>
      <c r="N310" s="16" t="str">
        <f t="shared" si="20"/>
        <v>Aprovado</v>
      </c>
      <c r="O310" s="16" t="str">
        <f t="shared" si="18"/>
        <v>Aprovado</v>
      </c>
      <c r="P310" s="29">
        <f t="shared" si="19"/>
        <v>7120</v>
      </c>
    </row>
    <row r="311" spans="1:16" x14ac:dyDescent="0.3">
      <c r="A311" s="20" t="s">
        <v>171</v>
      </c>
      <c r="B311" s="16" t="s">
        <v>425</v>
      </c>
      <c r="C311" s="44">
        <v>0</v>
      </c>
      <c r="D311" s="20">
        <v>43</v>
      </c>
      <c r="E311" s="17">
        <v>30355</v>
      </c>
      <c r="F311" s="16" t="s">
        <v>140</v>
      </c>
      <c r="G311" s="16" t="s">
        <v>17</v>
      </c>
      <c r="H311" s="18">
        <v>21700</v>
      </c>
      <c r="I311" s="19">
        <v>31000</v>
      </c>
      <c r="J311" s="16">
        <v>27</v>
      </c>
      <c r="K311" s="16" t="str">
        <f t="shared" si="17"/>
        <v>Alto</v>
      </c>
      <c r="L311" s="16" t="s">
        <v>14</v>
      </c>
      <c r="M311" s="19">
        <v>45500</v>
      </c>
      <c r="N311" s="16" t="str">
        <f t="shared" si="20"/>
        <v>Aprovado</v>
      </c>
      <c r="O311" s="16" t="str">
        <f t="shared" si="18"/>
        <v>Aprovado</v>
      </c>
      <c r="P311" s="29">
        <f t="shared" si="19"/>
        <v>3640</v>
      </c>
    </row>
    <row r="312" spans="1:16" x14ac:dyDescent="0.3">
      <c r="A312" s="20" t="s">
        <v>172</v>
      </c>
      <c r="B312" s="16" t="s">
        <v>426</v>
      </c>
      <c r="C312" s="44">
        <v>0</v>
      </c>
      <c r="D312" s="20">
        <v>32</v>
      </c>
      <c r="E312" s="17">
        <v>34387</v>
      </c>
      <c r="F312" s="16" t="s">
        <v>135</v>
      </c>
      <c r="G312" s="16" t="s">
        <v>17</v>
      </c>
      <c r="H312" s="18">
        <v>20500</v>
      </c>
      <c r="I312" s="19">
        <v>0</v>
      </c>
      <c r="J312" s="16">
        <v>41</v>
      </c>
      <c r="K312" s="16" t="str">
        <f t="shared" si="17"/>
        <v>Alto</v>
      </c>
      <c r="L312" s="16" t="s">
        <v>14</v>
      </c>
      <c r="M312" s="19">
        <v>54500</v>
      </c>
      <c r="N312" s="16" t="str">
        <f t="shared" si="20"/>
        <v>Aprovado</v>
      </c>
      <c r="O312" s="16" t="str">
        <f t="shared" si="18"/>
        <v>Aprovado</v>
      </c>
      <c r="P312" s="29">
        <f t="shared" si="19"/>
        <v>0</v>
      </c>
    </row>
    <row r="313" spans="1:16" x14ac:dyDescent="0.3">
      <c r="A313" t="s">
        <v>1299</v>
      </c>
      <c r="B313" s="16" t="s">
        <v>426</v>
      </c>
      <c r="C313" s="44">
        <v>4700</v>
      </c>
      <c r="D313" s="20">
        <v>63</v>
      </c>
      <c r="E313" s="17">
        <v>23084</v>
      </c>
      <c r="F313" s="16" t="s">
        <v>142</v>
      </c>
      <c r="G313" s="16" t="s">
        <v>23</v>
      </c>
      <c r="H313" s="18">
        <v>17300</v>
      </c>
      <c r="I313" s="19">
        <v>22000</v>
      </c>
      <c r="J313" s="16">
        <v>10</v>
      </c>
      <c r="K313" s="16" t="str">
        <f t="shared" si="17"/>
        <v>Baixo</v>
      </c>
      <c r="L313" s="16" t="s">
        <v>14</v>
      </c>
      <c r="M313" s="19">
        <v>97000</v>
      </c>
      <c r="N313" s="16" t="str">
        <f t="shared" si="20"/>
        <v>Aprovado</v>
      </c>
      <c r="O313" s="16" t="str">
        <f t="shared" si="18"/>
        <v>Aprovado</v>
      </c>
      <c r="P313" s="29">
        <f t="shared" si="19"/>
        <v>0</v>
      </c>
    </row>
    <row r="314" spans="1:16" x14ac:dyDescent="0.3">
      <c r="A314" s="20" t="s">
        <v>171</v>
      </c>
      <c r="B314" s="16" t="s">
        <v>427</v>
      </c>
      <c r="C314" s="44">
        <v>12600</v>
      </c>
      <c r="D314" s="20">
        <v>53</v>
      </c>
      <c r="E314" s="17">
        <v>26620</v>
      </c>
      <c r="F314" s="16" t="s">
        <v>137</v>
      </c>
      <c r="G314" s="16" t="s">
        <v>36</v>
      </c>
      <c r="H314" s="18">
        <v>21300</v>
      </c>
      <c r="I314" s="19">
        <v>79500</v>
      </c>
      <c r="J314" s="16">
        <v>18</v>
      </c>
      <c r="K314" s="16" t="str">
        <f t="shared" si="17"/>
        <v>Médio</v>
      </c>
      <c r="L314" s="16" t="s">
        <v>14</v>
      </c>
      <c r="M314" s="19">
        <v>19000</v>
      </c>
      <c r="N314" s="16" t="str">
        <f t="shared" si="20"/>
        <v>Aprovado</v>
      </c>
      <c r="O314" s="16" t="str">
        <f t="shared" si="18"/>
        <v>Aprovado</v>
      </c>
      <c r="P314" s="29">
        <f t="shared" si="19"/>
        <v>1520</v>
      </c>
    </row>
    <row r="315" spans="1:16" x14ac:dyDescent="0.3">
      <c r="A315" s="20" t="s">
        <v>172</v>
      </c>
      <c r="B315" s="16" t="s">
        <v>428</v>
      </c>
      <c r="C315" s="44">
        <v>29200</v>
      </c>
      <c r="D315" s="20">
        <v>62</v>
      </c>
      <c r="E315" s="17">
        <v>23358</v>
      </c>
      <c r="F315" s="16" t="s">
        <v>132</v>
      </c>
      <c r="G315" s="16" t="s">
        <v>23</v>
      </c>
      <c r="H315" s="19">
        <v>14600</v>
      </c>
      <c r="I315" s="19">
        <v>15500</v>
      </c>
      <c r="J315" s="16">
        <v>2</v>
      </c>
      <c r="K315" s="16" t="str">
        <f t="shared" si="17"/>
        <v>Baixo</v>
      </c>
      <c r="L315" s="16" t="s">
        <v>62</v>
      </c>
      <c r="M315" s="19">
        <v>2500</v>
      </c>
      <c r="N315" s="16" t="str">
        <f t="shared" si="20"/>
        <v>Aprovado</v>
      </c>
      <c r="O315" s="16" t="str">
        <f t="shared" si="18"/>
        <v>Aprovado</v>
      </c>
      <c r="P315" s="29">
        <f t="shared" si="19"/>
        <v>0</v>
      </c>
    </row>
    <row r="316" spans="1:16" x14ac:dyDescent="0.3">
      <c r="A316" s="20" t="s">
        <v>171</v>
      </c>
      <c r="B316" s="16" t="s">
        <v>429</v>
      </c>
      <c r="C316" s="44">
        <v>15400</v>
      </c>
      <c r="D316" s="20">
        <v>42</v>
      </c>
      <c r="E316" s="17">
        <v>30642</v>
      </c>
      <c r="F316" s="16" t="s">
        <v>21</v>
      </c>
      <c r="G316" s="16" t="s">
        <v>21</v>
      </c>
      <c r="H316" s="18">
        <v>0</v>
      </c>
      <c r="I316" s="19">
        <v>19500</v>
      </c>
      <c r="J316" s="16">
        <v>42</v>
      </c>
      <c r="K316" s="16" t="str">
        <f t="shared" si="17"/>
        <v>Alto</v>
      </c>
      <c r="L316" s="16" t="s">
        <v>14</v>
      </c>
      <c r="M316" s="19">
        <v>89500</v>
      </c>
      <c r="N316" s="16" t="str">
        <f t="shared" si="20"/>
        <v>Aprovado</v>
      </c>
      <c r="O316" s="16" t="str">
        <f t="shared" si="18"/>
        <v>Aprovado</v>
      </c>
      <c r="P316" s="29">
        <f t="shared" si="19"/>
        <v>7160</v>
      </c>
    </row>
    <row r="317" spans="1:16" x14ac:dyDescent="0.3">
      <c r="A317" s="20" t="s">
        <v>172</v>
      </c>
      <c r="B317" s="16" t="s">
        <v>430</v>
      </c>
      <c r="C317" s="44">
        <v>0</v>
      </c>
      <c r="D317" s="20">
        <v>73</v>
      </c>
      <c r="E317" s="17">
        <v>19299</v>
      </c>
      <c r="F317" s="16" t="s">
        <v>150</v>
      </c>
      <c r="G317" s="16" t="s">
        <v>15</v>
      </c>
      <c r="H317" s="18">
        <v>7100</v>
      </c>
      <c r="I317" s="19">
        <v>58000</v>
      </c>
      <c r="J317" s="16">
        <v>22</v>
      </c>
      <c r="K317" s="16" t="str">
        <f t="shared" si="17"/>
        <v>Médio</v>
      </c>
      <c r="L317" s="16" t="s">
        <v>13</v>
      </c>
      <c r="M317" s="19">
        <v>46500</v>
      </c>
      <c r="N317" s="16" t="str">
        <f t="shared" si="20"/>
        <v>Aprovado</v>
      </c>
      <c r="O317" s="16" t="str">
        <f t="shared" si="18"/>
        <v>Negado</v>
      </c>
      <c r="P317" s="29">
        <f t="shared" si="19"/>
        <v>0</v>
      </c>
    </row>
    <row r="318" spans="1:16" x14ac:dyDescent="0.3">
      <c r="A318" s="20" t="s">
        <v>171</v>
      </c>
      <c r="B318" s="16" t="s">
        <v>431</v>
      </c>
      <c r="C318" s="44">
        <v>12400</v>
      </c>
      <c r="D318" s="20">
        <v>29</v>
      </c>
      <c r="E318" s="17">
        <v>35323</v>
      </c>
      <c r="F318" s="16" t="s">
        <v>132</v>
      </c>
      <c r="G318" s="16" t="s">
        <v>23</v>
      </c>
      <c r="H318" s="18">
        <v>21200</v>
      </c>
      <c r="I318" s="19">
        <v>75000</v>
      </c>
      <c r="J318" s="16">
        <v>6</v>
      </c>
      <c r="K318" s="16" t="str">
        <f t="shared" si="17"/>
        <v>Baixo</v>
      </c>
      <c r="L318" s="16" t="s">
        <v>14</v>
      </c>
      <c r="M318" s="19">
        <v>63500</v>
      </c>
      <c r="N318" s="16" t="str">
        <f t="shared" si="20"/>
        <v>Aprovado</v>
      </c>
      <c r="O318" s="16" t="str">
        <f t="shared" si="18"/>
        <v>Aprovado</v>
      </c>
      <c r="P318" s="29">
        <f t="shared" si="19"/>
        <v>5080</v>
      </c>
    </row>
    <row r="319" spans="1:16" x14ac:dyDescent="0.3">
      <c r="A319" s="20" t="s">
        <v>171</v>
      </c>
      <c r="B319" s="16" t="s">
        <v>432</v>
      </c>
      <c r="C319" s="44">
        <v>16400</v>
      </c>
      <c r="D319" s="20">
        <v>62</v>
      </c>
      <c r="E319" s="17">
        <v>23317</v>
      </c>
      <c r="F319" s="16" t="s">
        <v>153</v>
      </c>
      <c r="G319" s="16" t="s">
        <v>17</v>
      </c>
      <c r="H319" s="18">
        <v>10500</v>
      </c>
      <c r="I319" s="19">
        <v>0</v>
      </c>
      <c r="J319" s="16">
        <v>4</v>
      </c>
      <c r="K319" s="16" t="str">
        <f t="shared" si="17"/>
        <v>Baixo</v>
      </c>
      <c r="L319" s="16" t="s">
        <v>13</v>
      </c>
      <c r="M319" s="19">
        <v>54500</v>
      </c>
      <c r="N319" s="16" t="str">
        <f t="shared" si="20"/>
        <v>Aprovado</v>
      </c>
      <c r="O319" s="16" t="str">
        <f t="shared" si="18"/>
        <v>Aprovado</v>
      </c>
      <c r="P319" s="29">
        <f t="shared" si="19"/>
        <v>4360</v>
      </c>
    </row>
    <row r="320" spans="1:16" x14ac:dyDescent="0.3">
      <c r="A320" s="20" t="s">
        <v>171</v>
      </c>
      <c r="B320" s="16" t="s">
        <v>433</v>
      </c>
      <c r="C320" s="44">
        <v>0</v>
      </c>
      <c r="D320" s="20">
        <v>20</v>
      </c>
      <c r="E320" s="17">
        <v>38894</v>
      </c>
      <c r="F320" s="16" t="s">
        <v>140</v>
      </c>
      <c r="G320" s="16" t="s">
        <v>17</v>
      </c>
      <c r="H320" s="18">
        <v>24900</v>
      </c>
      <c r="I320" s="19">
        <v>0</v>
      </c>
      <c r="J320" s="16">
        <v>14</v>
      </c>
      <c r="K320" s="16" t="str">
        <f t="shared" si="17"/>
        <v>Médio</v>
      </c>
      <c r="L320" s="16" t="s">
        <v>13</v>
      </c>
      <c r="M320" s="19">
        <v>49500</v>
      </c>
      <c r="N320" s="16" t="str">
        <f t="shared" si="20"/>
        <v>Aprovado</v>
      </c>
      <c r="O320" s="16" t="str">
        <f t="shared" si="18"/>
        <v>Aprovado</v>
      </c>
      <c r="P320" s="29">
        <f t="shared" si="19"/>
        <v>3960</v>
      </c>
    </row>
    <row r="321" spans="1:16" x14ac:dyDescent="0.3">
      <c r="A321" s="20" t="s">
        <v>171</v>
      </c>
      <c r="B321" s="16" t="s">
        <v>37</v>
      </c>
      <c r="C321" s="44">
        <v>800</v>
      </c>
      <c r="D321" s="20">
        <v>71</v>
      </c>
      <c r="E321" s="17">
        <v>20000</v>
      </c>
      <c r="F321" s="16" t="s">
        <v>148</v>
      </c>
      <c r="G321" s="16" t="s">
        <v>25</v>
      </c>
      <c r="H321" s="18">
        <v>15100</v>
      </c>
      <c r="I321" s="19">
        <v>0</v>
      </c>
      <c r="J321" s="16">
        <v>42</v>
      </c>
      <c r="K321" s="16" t="str">
        <f t="shared" si="17"/>
        <v>Alto</v>
      </c>
      <c r="L321" s="16" t="s">
        <v>14</v>
      </c>
      <c r="M321" s="19">
        <v>77000</v>
      </c>
      <c r="N321" s="16" t="str">
        <f t="shared" si="20"/>
        <v>Aprovado</v>
      </c>
      <c r="O321" s="16" t="str">
        <f t="shared" si="18"/>
        <v>Aprovado</v>
      </c>
      <c r="P321" s="29">
        <f t="shared" si="19"/>
        <v>6160</v>
      </c>
    </row>
    <row r="322" spans="1:16" x14ac:dyDescent="0.3">
      <c r="A322" s="20" t="s">
        <v>171</v>
      </c>
      <c r="B322" s="16" t="s">
        <v>37</v>
      </c>
      <c r="C322" s="44">
        <v>0</v>
      </c>
      <c r="D322" s="20">
        <v>44</v>
      </c>
      <c r="E322" s="17">
        <v>30167</v>
      </c>
      <c r="F322" s="16" t="s">
        <v>142</v>
      </c>
      <c r="G322" s="16" t="s">
        <v>130</v>
      </c>
      <c r="H322" s="18">
        <v>5500</v>
      </c>
      <c r="I322" s="19">
        <v>26000</v>
      </c>
      <c r="J322" s="16">
        <v>30</v>
      </c>
      <c r="K322" s="16" t="str">
        <f t="shared" ref="K322:K385" si="21">IF(J322&gt;25,"Alto", IF(J322&lt;=10,"Baixo","Médio"))</f>
        <v>Alto</v>
      </c>
      <c r="L322" s="16" t="s">
        <v>14</v>
      </c>
      <c r="M322" s="19">
        <v>64000</v>
      </c>
      <c r="N322" s="16" t="str">
        <f t="shared" si="20"/>
        <v>Aprovado</v>
      </c>
      <c r="O322" s="16" t="str">
        <f t="shared" ref="O322:O385" si="22">IF(AND(I322&gt;50000,L322="Sim"),"Negado","Aprovado")</f>
        <v>Aprovado</v>
      </c>
      <c r="P322" s="29">
        <f t="shared" ref="P322:P385" si="23">IF(AND(N322="Negado",O322="Negado"),0, IF(A322="Ativo",M322*8%,0))</f>
        <v>5120</v>
      </c>
    </row>
    <row r="323" spans="1:16" x14ac:dyDescent="0.3">
      <c r="A323" s="20" t="s">
        <v>171</v>
      </c>
      <c r="B323" s="16" t="s">
        <v>434</v>
      </c>
      <c r="C323" s="44">
        <v>17400</v>
      </c>
      <c r="D323" s="20">
        <v>67</v>
      </c>
      <c r="E323" s="17">
        <v>21671</v>
      </c>
      <c r="F323" s="16" t="s">
        <v>150</v>
      </c>
      <c r="G323" s="16" t="s">
        <v>15</v>
      </c>
      <c r="H323" s="19">
        <v>6500</v>
      </c>
      <c r="I323" s="19">
        <v>42500</v>
      </c>
      <c r="J323" s="16">
        <v>3</v>
      </c>
      <c r="K323" s="16" t="str">
        <f t="shared" si="21"/>
        <v>Baixo</v>
      </c>
      <c r="L323" s="16" t="s">
        <v>13</v>
      </c>
      <c r="M323" s="19">
        <v>8000</v>
      </c>
      <c r="N323" s="16" t="str">
        <f t="shared" si="20"/>
        <v>Aprovado</v>
      </c>
      <c r="O323" s="16" t="str">
        <f t="shared" si="22"/>
        <v>Aprovado</v>
      </c>
      <c r="P323" s="29">
        <f t="shared" si="23"/>
        <v>640</v>
      </c>
    </row>
    <row r="324" spans="1:16" x14ac:dyDescent="0.3">
      <c r="A324" s="20" t="s">
        <v>171</v>
      </c>
      <c r="B324" s="16" t="s">
        <v>435</v>
      </c>
      <c r="C324" s="44">
        <v>10100</v>
      </c>
      <c r="D324" s="20">
        <v>22</v>
      </c>
      <c r="E324" s="17">
        <v>37936</v>
      </c>
      <c r="F324" s="16" t="s">
        <v>137</v>
      </c>
      <c r="G324" s="16" t="s">
        <v>36</v>
      </c>
      <c r="H324" s="18">
        <v>4100</v>
      </c>
      <c r="I324" s="19">
        <v>2000</v>
      </c>
      <c r="J324" s="16">
        <v>8</v>
      </c>
      <c r="K324" s="16" t="str">
        <f t="shared" si="21"/>
        <v>Baixo</v>
      </c>
      <c r="L324" s="16" t="s">
        <v>14</v>
      </c>
      <c r="M324" s="19">
        <v>4000</v>
      </c>
      <c r="N324" s="16" t="str">
        <f t="shared" si="20"/>
        <v>Aprovado</v>
      </c>
      <c r="O324" s="16" t="str">
        <f t="shared" si="22"/>
        <v>Aprovado</v>
      </c>
      <c r="P324" s="29">
        <f t="shared" si="23"/>
        <v>320</v>
      </c>
    </row>
    <row r="325" spans="1:16" x14ac:dyDescent="0.3">
      <c r="A325" s="20" t="s">
        <v>171</v>
      </c>
      <c r="B325" s="16" t="s">
        <v>436</v>
      </c>
      <c r="C325" s="44">
        <v>31200</v>
      </c>
      <c r="D325" s="20">
        <v>25</v>
      </c>
      <c r="E325" s="17">
        <v>36792</v>
      </c>
      <c r="F325" s="16" t="s">
        <v>137</v>
      </c>
      <c r="G325" s="16" t="s">
        <v>36</v>
      </c>
      <c r="H325" s="18">
        <v>22100</v>
      </c>
      <c r="I325" s="19">
        <v>30500</v>
      </c>
      <c r="J325" s="16">
        <v>28</v>
      </c>
      <c r="K325" s="16" t="str">
        <f t="shared" si="21"/>
        <v>Alto</v>
      </c>
      <c r="L325" s="16" t="s">
        <v>14</v>
      </c>
      <c r="M325" s="19">
        <v>48000</v>
      </c>
      <c r="N325" s="16" t="str">
        <f t="shared" si="20"/>
        <v>Aprovado</v>
      </c>
      <c r="O325" s="16" t="str">
        <f t="shared" si="22"/>
        <v>Aprovado</v>
      </c>
      <c r="P325" s="29">
        <f t="shared" si="23"/>
        <v>3840</v>
      </c>
    </row>
    <row r="326" spans="1:16" x14ac:dyDescent="0.3">
      <c r="A326" s="20" t="s">
        <v>62</v>
      </c>
      <c r="B326" s="16" t="s">
        <v>437</v>
      </c>
      <c r="C326" s="44">
        <v>14500</v>
      </c>
      <c r="D326" s="20">
        <v>64</v>
      </c>
      <c r="E326" s="17" t="s">
        <v>47</v>
      </c>
      <c r="F326" s="16" t="s">
        <v>159</v>
      </c>
      <c r="G326" s="16" t="s">
        <v>169</v>
      </c>
      <c r="H326" s="18">
        <v>9400</v>
      </c>
      <c r="I326" s="19">
        <v>0</v>
      </c>
      <c r="J326" s="16">
        <v>9</v>
      </c>
      <c r="K326" s="16" t="str">
        <f t="shared" si="21"/>
        <v>Baixo</v>
      </c>
      <c r="L326" s="16" t="s">
        <v>14</v>
      </c>
      <c r="M326" s="19">
        <v>14500</v>
      </c>
      <c r="N326" s="16" t="str">
        <f t="shared" si="20"/>
        <v>Aprovado</v>
      </c>
      <c r="O326" s="16" t="str">
        <f t="shared" si="22"/>
        <v>Aprovado</v>
      </c>
      <c r="P326" s="29">
        <f t="shared" si="23"/>
        <v>0</v>
      </c>
    </row>
    <row r="327" spans="1:16" x14ac:dyDescent="0.3">
      <c r="A327" s="20" t="s">
        <v>171</v>
      </c>
      <c r="B327" s="16" t="s">
        <v>438</v>
      </c>
      <c r="C327" s="44">
        <v>20500</v>
      </c>
      <c r="D327" s="20">
        <v>40</v>
      </c>
      <c r="E327" s="17">
        <v>31539</v>
      </c>
      <c r="F327" s="16" t="s">
        <v>143</v>
      </c>
      <c r="G327" s="16" t="s">
        <v>17</v>
      </c>
      <c r="H327" s="18">
        <v>9900</v>
      </c>
      <c r="I327" s="19">
        <v>3500</v>
      </c>
      <c r="J327" s="16">
        <v>1</v>
      </c>
      <c r="K327" s="16" t="str">
        <f t="shared" si="21"/>
        <v>Baixo</v>
      </c>
      <c r="L327" s="16" t="s">
        <v>14</v>
      </c>
      <c r="M327" s="19">
        <v>23500</v>
      </c>
      <c r="N327" s="16" t="str">
        <f t="shared" si="20"/>
        <v>Aprovado</v>
      </c>
      <c r="O327" s="16" t="str">
        <f t="shared" si="22"/>
        <v>Aprovado</v>
      </c>
      <c r="P327" s="29">
        <f t="shared" si="23"/>
        <v>1880</v>
      </c>
    </row>
    <row r="328" spans="1:16" x14ac:dyDescent="0.3">
      <c r="A328" s="20" t="s">
        <v>171</v>
      </c>
      <c r="B328" s="16" t="s">
        <v>439</v>
      </c>
      <c r="C328" s="44">
        <v>12700</v>
      </c>
      <c r="D328" s="20">
        <v>26</v>
      </c>
      <c r="E328" s="17">
        <v>36518</v>
      </c>
      <c r="F328" s="16" t="s">
        <v>140</v>
      </c>
      <c r="G328" s="16" t="s">
        <v>17</v>
      </c>
      <c r="H328" s="18">
        <v>5000</v>
      </c>
      <c r="I328" s="19">
        <v>61500</v>
      </c>
      <c r="J328" s="16">
        <v>35</v>
      </c>
      <c r="K328" s="16" t="str">
        <f t="shared" si="21"/>
        <v>Alto</v>
      </c>
      <c r="L328" s="16" t="s">
        <v>14</v>
      </c>
      <c r="M328" s="19">
        <v>18500</v>
      </c>
      <c r="N328" s="16" t="str">
        <f t="shared" si="20"/>
        <v>Aprovado</v>
      </c>
      <c r="O328" s="16" t="str">
        <f t="shared" si="22"/>
        <v>Aprovado</v>
      </c>
      <c r="P328" s="29">
        <f t="shared" si="23"/>
        <v>1480</v>
      </c>
    </row>
    <row r="329" spans="1:16" x14ac:dyDescent="0.3">
      <c r="A329" s="20" t="s">
        <v>171</v>
      </c>
      <c r="B329" s="16" t="s">
        <v>440</v>
      </c>
      <c r="C329" s="44">
        <v>30700</v>
      </c>
      <c r="D329" s="20">
        <v>63</v>
      </c>
      <c r="E329" s="17">
        <v>22900</v>
      </c>
      <c r="F329" s="16" t="s">
        <v>21</v>
      </c>
      <c r="G329" s="16" t="s">
        <v>21</v>
      </c>
      <c r="H329" s="18">
        <v>5500</v>
      </c>
      <c r="I329" s="19">
        <v>41000</v>
      </c>
      <c r="J329" s="16">
        <v>2</v>
      </c>
      <c r="K329" s="16" t="str">
        <f t="shared" si="21"/>
        <v>Baixo</v>
      </c>
      <c r="L329" s="16" t="s">
        <v>14</v>
      </c>
      <c r="M329" s="19">
        <v>54500</v>
      </c>
      <c r="N329" s="16" t="str">
        <f t="shared" si="20"/>
        <v>Aprovado</v>
      </c>
      <c r="O329" s="16" t="str">
        <f t="shared" si="22"/>
        <v>Aprovado</v>
      </c>
      <c r="P329" s="29">
        <f t="shared" si="23"/>
        <v>4360</v>
      </c>
    </row>
    <row r="330" spans="1:16" x14ac:dyDescent="0.3">
      <c r="A330" s="20" t="s">
        <v>171</v>
      </c>
      <c r="B330" s="16" t="s">
        <v>440</v>
      </c>
      <c r="C330" s="44">
        <v>11400</v>
      </c>
      <c r="D330" s="20">
        <v>72</v>
      </c>
      <c r="E330" s="17">
        <v>19623</v>
      </c>
      <c r="F330" s="16" t="s">
        <v>141</v>
      </c>
      <c r="G330" s="16" t="s">
        <v>33</v>
      </c>
      <c r="H330" s="18">
        <v>12600</v>
      </c>
      <c r="I330" s="19">
        <v>5500</v>
      </c>
      <c r="J330" s="16">
        <v>35</v>
      </c>
      <c r="K330" s="16" t="str">
        <f t="shared" si="21"/>
        <v>Alto</v>
      </c>
      <c r="L330" s="16" t="s">
        <v>14</v>
      </c>
      <c r="M330" s="19">
        <v>21000</v>
      </c>
      <c r="N330" s="16" t="str">
        <f t="shared" si="20"/>
        <v>Aprovado</v>
      </c>
      <c r="O330" s="16" t="str">
        <f t="shared" si="22"/>
        <v>Aprovado</v>
      </c>
      <c r="P330" s="29">
        <f t="shared" si="23"/>
        <v>1680</v>
      </c>
    </row>
    <row r="331" spans="1:16" x14ac:dyDescent="0.3">
      <c r="A331" s="20" t="s">
        <v>171</v>
      </c>
      <c r="B331" s="16" t="s">
        <v>441</v>
      </c>
      <c r="C331" s="44">
        <v>3000</v>
      </c>
      <c r="D331" s="20">
        <v>33</v>
      </c>
      <c r="E331" s="17">
        <v>34027</v>
      </c>
      <c r="F331" s="16" t="s">
        <v>138</v>
      </c>
      <c r="G331" s="16" t="s">
        <v>27</v>
      </c>
      <c r="H331" s="18">
        <v>3400</v>
      </c>
      <c r="I331" s="19">
        <v>0</v>
      </c>
      <c r="J331" s="16">
        <v>13</v>
      </c>
      <c r="K331" s="16" t="str">
        <f t="shared" si="21"/>
        <v>Médio</v>
      </c>
      <c r="L331" s="16" t="s">
        <v>14</v>
      </c>
      <c r="M331" s="19">
        <v>70000</v>
      </c>
      <c r="N331" s="16" t="str">
        <f t="shared" si="20"/>
        <v>Aprovado</v>
      </c>
      <c r="O331" s="16" t="str">
        <f t="shared" si="22"/>
        <v>Aprovado</v>
      </c>
      <c r="P331" s="29">
        <f t="shared" si="23"/>
        <v>5600</v>
      </c>
    </row>
    <row r="332" spans="1:16" x14ac:dyDescent="0.3">
      <c r="A332" s="20" t="s">
        <v>172</v>
      </c>
      <c r="B332" s="16" t="s">
        <v>442</v>
      </c>
      <c r="C332" s="44">
        <v>23500</v>
      </c>
      <c r="D332" s="20">
        <v>33</v>
      </c>
      <c r="E332" s="17">
        <v>33902</v>
      </c>
      <c r="F332" s="16" t="s">
        <v>132</v>
      </c>
      <c r="G332" s="16" t="s">
        <v>23</v>
      </c>
      <c r="H332" s="18">
        <v>12500</v>
      </c>
      <c r="I332" s="19">
        <v>51500</v>
      </c>
      <c r="J332" s="16">
        <v>44</v>
      </c>
      <c r="K332" s="16" t="str">
        <f t="shared" si="21"/>
        <v>Alto</v>
      </c>
      <c r="L332" s="16" t="s">
        <v>13</v>
      </c>
      <c r="M332" s="19">
        <v>24000</v>
      </c>
      <c r="N332" s="16" t="str">
        <f t="shared" si="20"/>
        <v>Negado</v>
      </c>
      <c r="O332" s="16" t="str">
        <f t="shared" si="22"/>
        <v>Negado</v>
      </c>
      <c r="P332" s="29">
        <f t="shared" si="23"/>
        <v>0</v>
      </c>
    </row>
    <row r="333" spans="1:16" x14ac:dyDescent="0.3">
      <c r="A333" s="20" t="s">
        <v>172</v>
      </c>
      <c r="B333" s="16" t="s">
        <v>443</v>
      </c>
      <c r="C333" s="44">
        <v>3400</v>
      </c>
      <c r="D333" s="20">
        <v>35</v>
      </c>
      <c r="E333" s="17">
        <v>33204</v>
      </c>
      <c r="F333" s="16" t="s">
        <v>153</v>
      </c>
      <c r="G333" s="16" t="s">
        <v>17</v>
      </c>
      <c r="H333" s="18">
        <v>17600</v>
      </c>
      <c r="I333" s="19">
        <v>44000</v>
      </c>
      <c r="J333" s="16">
        <v>22</v>
      </c>
      <c r="K333" s="16" t="str">
        <f t="shared" si="21"/>
        <v>Médio</v>
      </c>
      <c r="L333" s="16" t="s">
        <v>14</v>
      </c>
      <c r="M333" s="19">
        <v>56500</v>
      </c>
      <c r="N333" s="16" t="str">
        <f t="shared" si="20"/>
        <v>Aprovado</v>
      </c>
      <c r="O333" s="16" t="str">
        <f t="shared" si="22"/>
        <v>Aprovado</v>
      </c>
      <c r="P333" s="29">
        <f t="shared" si="23"/>
        <v>0</v>
      </c>
    </row>
    <row r="334" spans="1:16" x14ac:dyDescent="0.3">
      <c r="A334" s="20" t="s">
        <v>171</v>
      </c>
      <c r="B334" s="16" t="s">
        <v>444</v>
      </c>
      <c r="C334" s="44">
        <v>35100</v>
      </c>
      <c r="D334" s="20">
        <v>71</v>
      </c>
      <c r="E334" s="17">
        <v>20275</v>
      </c>
      <c r="F334" s="16" t="s">
        <v>141</v>
      </c>
      <c r="G334" s="16" t="s">
        <v>33</v>
      </c>
      <c r="H334" s="18">
        <v>14200</v>
      </c>
      <c r="I334" s="19">
        <v>51000</v>
      </c>
      <c r="J334" s="16">
        <v>10</v>
      </c>
      <c r="K334" s="16" t="str">
        <f t="shared" si="21"/>
        <v>Baixo</v>
      </c>
      <c r="L334" s="16" t="s">
        <v>14</v>
      </c>
      <c r="M334" s="19">
        <v>90500</v>
      </c>
      <c r="N334" s="16" t="str">
        <f t="shared" si="20"/>
        <v>Aprovado</v>
      </c>
      <c r="O334" s="16" t="str">
        <f t="shared" si="22"/>
        <v>Aprovado</v>
      </c>
      <c r="P334" s="29">
        <f t="shared" si="23"/>
        <v>7240</v>
      </c>
    </row>
    <row r="335" spans="1:16" x14ac:dyDescent="0.3">
      <c r="A335" s="20" t="s">
        <v>171</v>
      </c>
      <c r="B335" s="16" t="s">
        <v>445</v>
      </c>
      <c r="C335" s="44">
        <v>23600</v>
      </c>
      <c r="D335" s="20">
        <v>69</v>
      </c>
      <c r="E335" s="17">
        <v>20943</v>
      </c>
      <c r="F335" s="16" t="s">
        <v>158</v>
      </c>
      <c r="G335" s="16" t="s">
        <v>168</v>
      </c>
      <c r="H335" s="18">
        <v>13800</v>
      </c>
      <c r="I335" s="19">
        <v>62000</v>
      </c>
      <c r="J335" s="16">
        <v>31</v>
      </c>
      <c r="K335" s="16" t="str">
        <f t="shared" si="21"/>
        <v>Alto</v>
      </c>
      <c r="L335" s="16" t="s">
        <v>14</v>
      </c>
      <c r="M335" s="19">
        <v>60500</v>
      </c>
      <c r="N335" s="16" t="str">
        <f t="shared" si="20"/>
        <v>Aprovado</v>
      </c>
      <c r="O335" s="16" t="str">
        <f t="shared" si="22"/>
        <v>Aprovado</v>
      </c>
      <c r="P335" s="29">
        <f t="shared" si="23"/>
        <v>4840</v>
      </c>
    </row>
    <row r="336" spans="1:16" x14ac:dyDescent="0.3">
      <c r="A336" s="20" t="s">
        <v>172</v>
      </c>
      <c r="B336" s="16" t="s">
        <v>446</v>
      </c>
      <c r="C336" s="44">
        <v>36100</v>
      </c>
      <c r="D336" s="20">
        <v>24</v>
      </c>
      <c r="E336" s="17">
        <v>37313</v>
      </c>
      <c r="F336" s="16" t="s">
        <v>150</v>
      </c>
      <c r="G336" s="16" t="s">
        <v>15</v>
      </c>
      <c r="H336" s="18">
        <v>11000</v>
      </c>
      <c r="I336" s="19">
        <v>76500</v>
      </c>
      <c r="J336" s="16">
        <v>33</v>
      </c>
      <c r="K336" s="16" t="str">
        <f t="shared" si="21"/>
        <v>Alto</v>
      </c>
      <c r="L336" s="16" t="s">
        <v>13</v>
      </c>
      <c r="M336" s="19">
        <v>26000</v>
      </c>
      <c r="N336" s="16" t="str">
        <f t="shared" si="20"/>
        <v>Negado</v>
      </c>
      <c r="O336" s="16" t="str">
        <f t="shared" si="22"/>
        <v>Negado</v>
      </c>
      <c r="P336" s="29">
        <f t="shared" si="23"/>
        <v>0</v>
      </c>
    </row>
    <row r="337" spans="1:16" x14ac:dyDescent="0.3">
      <c r="A337" s="20" t="s">
        <v>171</v>
      </c>
      <c r="B337" s="16" t="s">
        <v>447</v>
      </c>
      <c r="C337" s="44">
        <v>21600</v>
      </c>
      <c r="D337" s="20">
        <v>34</v>
      </c>
      <c r="E337" s="17">
        <v>33835</v>
      </c>
      <c r="F337" s="16" t="s">
        <v>160</v>
      </c>
      <c r="G337" s="16" t="s">
        <v>170</v>
      </c>
      <c r="H337" s="18">
        <v>5100</v>
      </c>
      <c r="I337" s="19">
        <v>17000</v>
      </c>
      <c r="J337" s="16">
        <v>3</v>
      </c>
      <c r="K337" s="16" t="str">
        <f t="shared" si="21"/>
        <v>Baixo</v>
      </c>
      <c r="L337" s="16" t="s">
        <v>14</v>
      </c>
      <c r="M337" s="19">
        <v>4500</v>
      </c>
      <c r="N337" s="16" t="str">
        <f t="shared" si="20"/>
        <v>Aprovado</v>
      </c>
      <c r="O337" s="16" t="str">
        <f t="shared" si="22"/>
        <v>Aprovado</v>
      </c>
      <c r="P337" s="29">
        <f t="shared" si="23"/>
        <v>360</v>
      </c>
    </row>
    <row r="338" spans="1:16" x14ac:dyDescent="0.3">
      <c r="A338" s="20" t="s">
        <v>171</v>
      </c>
      <c r="B338" s="16" t="s">
        <v>448</v>
      </c>
      <c r="C338" s="44">
        <v>31600</v>
      </c>
      <c r="D338" s="20">
        <v>64</v>
      </c>
      <c r="E338" s="17">
        <v>22886</v>
      </c>
      <c r="F338" s="16" t="s">
        <v>136</v>
      </c>
      <c r="G338" s="16" t="s">
        <v>28</v>
      </c>
      <c r="H338" s="18">
        <v>8800</v>
      </c>
      <c r="I338" s="19">
        <v>66000</v>
      </c>
      <c r="J338" s="16">
        <v>28</v>
      </c>
      <c r="K338" s="16" t="str">
        <f t="shared" si="21"/>
        <v>Alto</v>
      </c>
      <c r="L338" s="16" t="s">
        <v>14</v>
      </c>
      <c r="M338" s="19">
        <v>5000</v>
      </c>
      <c r="N338" s="16" t="str">
        <f t="shared" si="20"/>
        <v>Aprovado</v>
      </c>
      <c r="O338" s="16" t="str">
        <f t="shared" si="22"/>
        <v>Aprovado</v>
      </c>
      <c r="P338" s="29">
        <f t="shared" si="23"/>
        <v>400</v>
      </c>
    </row>
    <row r="339" spans="1:16" x14ac:dyDescent="0.3">
      <c r="A339" s="20" t="s">
        <v>171</v>
      </c>
      <c r="B339" s="16" t="s">
        <v>449</v>
      </c>
      <c r="C339" s="44">
        <v>7100</v>
      </c>
      <c r="D339" s="20">
        <f ca="1">DATEDIF(E339,TODAY(),"Y")</f>
        <v>31</v>
      </c>
      <c r="E339" s="17">
        <v>34769</v>
      </c>
      <c r="F339" s="16" t="s">
        <v>141</v>
      </c>
      <c r="G339" s="16" t="s">
        <v>33</v>
      </c>
      <c r="H339" s="18">
        <v>9000</v>
      </c>
      <c r="I339" s="19">
        <v>66000</v>
      </c>
      <c r="J339" s="16">
        <v>24</v>
      </c>
      <c r="K339" s="16" t="str">
        <f t="shared" si="21"/>
        <v>Médio</v>
      </c>
      <c r="L339" s="16" t="s">
        <v>14</v>
      </c>
      <c r="M339" s="19">
        <v>72000</v>
      </c>
      <c r="N339" s="16" t="str">
        <f t="shared" si="20"/>
        <v>Aprovado</v>
      </c>
      <c r="O339" s="16" t="str">
        <f t="shared" si="22"/>
        <v>Aprovado</v>
      </c>
      <c r="P339" s="29">
        <f t="shared" si="23"/>
        <v>5760</v>
      </c>
    </row>
    <row r="340" spans="1:16" x14ac:dyDescent="0.3">
      <c r="A340" s="20" t="s">
        <v>172</v>
      </c>
      <c r="B340" s="16" t="s">
        <v>450</v>
      </c>
      <c r="C340" s="44">
        <v>38000</v>
      </c>
      <c r="D340" s="20">
        <v>36</v>
      </c>
      <c r="E340" s="17">
        <v>32914</v>
      </c>
      <c r="F340" s="16" t="s">
        <v>148</v>
      </c>
      <c r="G340" s="16" t="s">
        <v>25</v>
      </c>
      <c r="H340" s="18">
        <v>27600</v>
      </c>
      <c r="I340" s="19">
        <v>37000</v>
      </c>
      <c r="J340" s="16">
        <v>15</v>
      </c>
      <c r="K340" s="16" t="str">
        <f t="shared" si="21"/>
        <v>Médio</v>
      </c>
      <c r="L340" s="16" t="s">
        <v>14</v>
      </c>
      <c r="M340" s="19">
        <v>41500</v>
      </c>
      <c r="N340" s="16" t="str">
        <f t="shared" si="20"/>
        <v>Aprovado</v>
      </c>
      <c r="O340" s="16" t="str">
        <f t="shared" si="22"/>
        <v>Aprovado</v>
      </c>
      <c r="P340" s="29">
        <f t="shared" si="23"/>
        <v>0</v>
      </c>
    </row>
    <row r="341" spans="1:16" x14ac:dyDescent="0.3">
      <c r="A341" s="20" t="s">
        <v>171</v>
      </c>
      <c r="B341" s="16" t="s">
        <v>32</v>
      </c>
      <c r="C341" s="44">
        <v>37500</v>
      </c>
      <c r="D341" s="20">
        <v>26</v>
      </c>
      <c r="E341" s="17">
        <v>36622</v>
      </c>
      <c r="F341" s="16" t="s">
        <v>21</v>
      </c>
      <c r="G341" s="16" t="s">
        <v>21</v>
      </c>
      <c r="H341" s="18">
        <v>22900</v>
      </c>
      <c r="I341" s="19">
        <v>65500</v>
      </c>
      <c r="J341" s="16">
        <v>40</v>
      </c>
      <c r="K341" s="16" t="str">
        <f t="shared" si="21"/>
        <v>Alto</v>
      </c>
      <c r="L341" s="16" t="s">
        <v>13</v>
      </c>
      <c r="M341" s="19">
        <v>95500</v>
      </c>
      <c r="N341" s="16" t="str">
        <f t="shared" ref="N341:N401" si="24">IF(AND(K341="Alto",L341="Sim"),"Negado","Aprovado")</f>
        <v>Negado</v>
      </c>
      <c r="O341" s="16" t="str">
        <f t="shared" si="22"/>
        <v>Negado</v>
      </c>
      <c r="P341" s="29">
        <f t="shared" si="23"/>
        <v>0</v>
      </c>
    </row>
    <row r="342" spans="1:16" x14ac:dyDescent="0.3">
      <c r="A342" s="20" t="s">
        <v>171</v>
      </c>
      <c r="B342" s="16" t="s">
        <v>451</v>
      </c>
      <c r="C342" s="44">
        <v>12300</v>
      </c>
      <c r="D342" s="20">
        <v>19</v>
      </c>
      <c r="E342" s="17">
        <v>39209</v>
      </c>
      <c r="F342" s="16" t="s">
        <v>154</v>
      </c>
      <c r="G342" s="16" t="s">
        <v>23</v>
      </c>
      <c r="H342" s="18">
        <v>7200</v>
      </c>
      <c r="I342" s="19">
        <v>16000</v>
      </c>
      <c r="J342" s="16">
        <v>5</v>
      </c>
      <c r="K342" s="16" t="str">
        <f t="shared" si="21"/>
        <v>Baixo</v>
      </c>
      <c r="L342" s="16" t="s">
        <v>14</v>
      </c>
      <c r="M342" s="19">
        <v>52000</v>
      </c>
      <c r="N342" s="16" t="str">
        <f t="shared" si="24"/>
        <v>Aprovado</v>
      </c>
      <c r="O342" s="16" t="str">
        <f t="shared" si="22"/>
        <v>Aprovado</v>
      </c>
      <c r="P342" s="29">
        <f t="shared" si="23"/>
        <v>4160</v>
      </c>
    </row>
    <row r="343" spans="1:16" x14ac:dyDescent="0.3">
      <c r="A343" s="20" t="s">
        <v>171</v>
      </c>
      <c r="B343" s="16" t="s">
        <v>452</v>
      </c>
      <c r="C343" s="44">
        <v>29600</v>
      </c>
      <c r="D343" s="20">
        <v>71</v>
      </c>
      <c r="E343" s="17">
        <v>20187</v>
      </c>
      <c r="F343" s="16" t="s">
        <v>138</v>
      </c>
      <c r="G343" s="16" t="s">
        <v>27</v>
      </c>
      <c r="H343" s="18">
        <v>29200</v>
      </c>
      <c r="I343" s="19">
        <v>73500</v>
      </c>
      <c r="J343" s="16">
        <v>2</v>
      </c>
      <c r="K343" s="16" t="str">
        <f t="shared" si="21"/>
        <v>Baixo</v>
      </c>
      <c r="L343" s="16" t="s">
        <v>14</v>
      </c>
      <c r="M343" s="19">
        <v>33000</v>
      </c>
      <c r="N343" s="16" t="str">
        <f t="shared" si="24"/>
        <v>Aprovado</v>
      </c>
      <c r="O343" s="16" t="str">
        <f t="shared" si="22"/>
        <v>Aprovado</v>
      </c>
      <c r="P343" s="29">
        <f t="shared" si="23"/>
        <v>2640</v>
      </c>
    </row>
    <row r="344" spans="1:16" x14ac:dyDescent="0.3">
      <c r="A344" s="20" t="s">
        <v>172</v>
      </c>
      <c r="B344" s="16" t="s">
        <v>453</v>
      </c>
      <c r="C344" s="44">
        <v>28900</v>
      </c>
      <c r="D344" s="20">
        <v>74</v>
      </c>
      <c r="E344" s="17">
        <v>19073</v>
      </c>
      <c r="F344" s="16" t="s">
        <v>141</v>
      </c>
      <c r="G344" s="16" t="s">
        <v>130</v>
      </c>
      <c r="H344" s="18">
        <v>7100</v>
      </c>
      <c r="I344" s="19">
        <v>61500</v>
      </c>
      <c r="J344" s="16">
        <v>1</v>
      </c>
      <c r="K344" s="16" t="str">
        <f t="shared" si="21"/>
        <v>Baixo</v>
      </c>
      <c r="L344" s="16" t="s">
        <v>14</v>
      </c>
      <c r="M344" s="19">
        <v>50500</v>
      </c>
      <c r="N344" s="16" t="str">
        <f t="shared" si="24"/>
        <v>Aprovado</v>
      </c>
      <c r="O344" s="16" t="str">
        <f t="shared" si="22"/>
        <v>Aprovado</v>
      </c>
      <c r="P344" s="29">
        <f t="shared" si="23"/>
        <v>0</v>
      </c>
    </row>
    <row r="345" spans="1:16" x14ac:dyDescent="0.3">
      <c r="A345" s="20" t="s">
        <v>171</v>
      </c>
      <c r="B345" s="16" t="s">
        <v>454</v>
      </c>
      <c r="C345" s="44">
        <v>1100</v>
      </c>
      <c r="D345" s="20">
        <v>53</v>
      </c>
      <c r="E345" s="17">
        <v>26812</v>
      </c>
      <c r="F345" s="16" t="s">
        <v>133</v>
      </c>
      <c r="G345" s="16" t="s">
        <v>27</v>
      </c>
      <c r="H345" s="18">
        <v>27800</v>
      </c>
      <c r="I345" s="19">
        <v>52000</v>
      </c>
      <c r="J345" s="16">
        <v>43</v>
      </c>
      <c r="K345" s="16" t="str">
        <f t="shared" si="21"/>
        <v>Alto</v>
      </c>
      <c r="L345" s="16" t="s">
        <v>14</v>
      </c>
      <c r="M345" s="19">
        <v>93500</v>
      </c>
      <c r="N345" s="16" t="str">
        <f t="shared" si="24"/>
        <v>Aprovado</v>
      </c>
      <c r="O345" s="16" t="str">
        <f t="shared" si="22"/>
        <v>Aprovado</v>
      </c>
      <c r="P345" s="29">
        <f t="shared" si="23"/>
        <v>7480</v>
      </c>
    </row>
    <row r="346" spans="1:16" x14ac:dyDescent="0.3">
      <c r="A346" s="20" t="s">
        <v>171</v>
      </c>
      <c r="B346" s="16" t="s">
        <v>455</v>
      </c>
      <c r="C346" s="44">
        <v>11300</v>
      </c>
      <c r="D346" s="20">
        <v>55</v>
      </c>
      <c r="E346" s="17">
        <v>25844</v>
      </c>
      <c r="F346" s="16" t="s">
        <v>132</v>
      </c>
      <c r="G346" s="16" t="s">
        <v>23</v>
      </c>
      <c r="H346" s="18">
        <v>17400</v>
      </c>
      <c r="I346" s="19">
        <v>75500</v>
      </c>
      <c r="J346" s="16">
        <v>9</v>
      </c>
      <c r="K346" s="16" t="str">
        <f t="shared" si="21"/>
        <v>Baixo</v>
      </c>
      <c r="L346" s="16" t="s">
        <v>14</v>
      </c>
      <c r="M346" s="19">
        <v>52000</v>
      </c>
      <c r="N346" s="16" t="str">
        <f t="shared" si="24"/>
        <v>Aprovado</v>
      </c>
      <c r="O346" s="16" t="str">
        <f t="shared" si="22"/>
        <v>Aprovado</v>
      </c>
      <c r="P346" s="29">
        <f t="shared" si="23"/>
        <v>4160</v>
      </c>
    </row>
    <row r="347" spans="1:16" x14ac:dyDescent="0.3">
      <c r="A347" s="20" t="s">
        <v>171</v>
      </c>
      <c r="B347" s="16" t="s">
        <v>456</v>
      </c>
      <c r="C347" s="44">
        <v>14100</v>
      </c>
      <c r="D347" s="20">
        <v>28</v>
      </c>
      <c r="E347" s="17">
        <v>35993</v>
      </c>
      <c r="F347" s="16" t="s">
        <v>141</v>
      </c>
      <c r="G347" s="16" t="s">
        <v>33</v>
      </c>
      <c r="H347" s="18">
        <v>13400</v>
      </c>
      <c r="I347" s="19">
        <v>54000</v>
      </c>
      <c r="J347" s="16">
        <v>15</v>
      </c>
      <c r="K347" s="16" t="str">
        <f t="shared" si="21"/>
        <v>Médio</v>
      </c>
      <c r="L347" s="16" t="s">
        <v>14</v>
      </c>
      <c r="M347" s="19">
        <v>99000</v>
      </c>
      <c r="N347" s="16" t="str">
        <f t="shared" si="24"/>
        <v>Aprovado</v>
      </c>
      <c r="O347" s="16" t="str">
        <f t="shared" si="22"/>
        <v>Aprovado</v>
      </c>
      <c r="P347" s="29">
        <f t="shared" si="23"/>
        <v>7920</v>
      </c>
    </row>
    <row r="348" spans="1:16" x14ac:dyDescent="0.3">
      <c r="A348" s="20" t="s">
        <v>171</v>
      </c>
      <c r="B348" s="16" t="s">
        <v>457</v>
      </c>
      <c r="C348" s="44">
        <v>0</v>
      </c>
      <c r="D348" s="20">
        <v>74</v>
      </c>
      <c r="E348" s="17">
        <v>19131</v>
      </c>
      <c r="F348" s="16" t="s">
        <v>144</v>
      </c>
      <c r="G348" s="16" t="s">
        <v>18</v>
      </c>
      <c r="H348" s="18">
        <v>20700</v>
      </c>
      <c r="I348" s="19">
        <v>17500</v>
      </c>
      <c r="J348" s="16">
        <v>35</v>
      </c>
      <c r="K348" s="16" t="str">
        <f t="shared" si="21"/>
        <v>Alto</v>
      </c>
      <c r="L348" s="16" t="s">
        <v>14</v>
      </c>
      <c r="M348" s="19">
        <v>65000</v>
      </c>
      <c r="N348" s="16" t="str">
        <f t="shared" si="24"/>
        <v>Aprovado</v>
      </c>
      <c r="O348" s="16" t="str">
        <f t="shared" si="22"/>
        <v>Aprovado</v>
      </c>
      <c r="P348" s="29">
        <f t="shared" si="23"/>
        <v>5200</v>
      </c>
    </row>
    <row r="349" spans="1:16" x14ac:dyDescent="0.3">
      <c r="A349" s="20" t="s">
        <v>171</v>
      </c>
      <c r="B349" s="16" t="s">
        <v>457</v>
      </c>
      <c r="C349" s="44">
        <v>0</v>
      </c>
      <c r="D349" s="20">
        <v>74</v>
      </c>
      <c r="E349" s="17">
        <v>19131</v>
      </c>
      <c r="F349" s="16" t="s">
        <v>144</v>
      </c>
      <c r="G349" s="16" t="s">
        <v>18</v>
      </c>
      <c r="H349" s="18">
        <v>20700</v>
      </c>
      <c r="I349" s="19">
        <v>17500</v>
      </c>
      <c r="J349" s="16">
        <v>35</v>
      </c>
      <c r="K349" s="16" t="str">
        <f t="shared" si="21"/>
        <v>Alto</v>
      </c>
      <c r="L349" s="16" t="s">
        <v>14</v>
      </c>
      <c r="M349" s="19">
        <v>68500</v>
      </c>
      <c r="N349" s="16" t="str">
        <f t="shared" si="24"/>
        <v>Aprovado</v>
      </c>
      <c r="O349" s="16" t="str">
        <f t="shared" si="22"/>
        <v>Aprovado</v>
      </c>
      <c r="P349" s="29">
        <f t="shared" si="23"/>
        <v>5480</v>
      </c>
    </row>
    <row r="350" spans="1:16" x14ac:dyDescent="0.3">
      <c r="A350" s="20" t="s">
        <v>171</v>
      </c>
      <c r="B350" s="16" t="s">
        <v>458</v>
      </c>
      <c r="C350" s="44">
        <v>37400</v>
      </c>
      <c r="D350" s="20">
        <v>67</v>
      </c>
      <c r="E350" s="17">
        <v>21573</v>
      </c>
      <c r="F350" s="16" t="s">
        <v>148</v>
      </c>
      <c r="G350" s="16" t="s">
        <v>25</v>
      </c>
      <c r="H350" s="18">
        <v>6400</v>
      </c>
      <c r="I350" s="19">
        <v>1000</v>
      </c>
      <c r="J350" s="16">
        <v>27</v>
      </c>
      <c r="K350" s="16" t="str">
        <f t="shared" si="21"/>
        <v>Alto</v>
      </c>
      <c r="L350" s="16" t="s">
        <v>14</v>
      </c>
      <c r="M350" s="19">
        <v>50000</v>
      </c>
      <c r="N350" s="16" t="str">
        <f t="shared" si="24"/>
        <v>Aprovado</v>
      </c>
      <c r="O350" s="16" t="str">
        <f t="shared" si="22"/>
        <v>Aprovado</v>
      </c>
      <c r="P350" s="29">
        <f t="shared" si="23"/>
        <v>4000</v>
      </c>
    </row>
    <row r="351" spans="1:16" x14ac:dyDescent="0.3">
      <c r="A351" s="20" t="s">
        <v>171</v>
      </c>
      <c r="B351" s="16" t="s">
        <v>458</v>
      </c>
      <c r="C351" s="44">
        <v>4300</v>
      </c>
      <c r="D351" s="20">
        <v>27</v>
      </c>
      <c r="E351" s="17">
        <v>36316</v>
      </c>
      <c r="F351" s="16" t="s">
        <v>142</v>
      </c>
      <c r="G351" s="16" t="s">
        <v>23</v>
      </c>
      <c r="H351" s="18">
        <v>10700</v>
      </c>
      <c r="I351" s="19">
        <v>60000</v>
      </c>
      <c r="J351" s="16">
        <v>44</v>
      </c>
      <c r="K351" s="16" t="str">
        <f t="shared" si="21"/>
        <v>Alto</v>
      </c>
      <c r="L351" s="16" t="s">
        <v>14</v>
      </c>
      <c r="M351" s="19">
        <v>48000</v>
      </c>
      <c r="N351" s="16" t="str">
        <f t="shared" si="24"/>
        <v>Aprovado</v>
      </c>
      <c r="O351" s="16" t="str">
        <f t="shared" si="22"/>
        <v>Aprovado</v>
      </c>
      <c r="P351" s="29">
        <f t="shared" si="23"/>
        <v>3840</v>
      </c>
    </row>
    <row r="352" spans="1:16" x14ac:dyDescent="0.3">
      <c r="A352" s="20" t="s">
        <v>172</v>
      </c>
      <c r="B352" s="16" t="s">
        <v>39</v>
      </c>
      <c r="C352" s="44">
        <v>24500</v>
      </c>
      <c r="D352" s="20">
        <v>65</v>
      </c>
      <c r="E352" s="17">
        <v>22205</v>
      </c>
      <c r="F352" s="16" t="s">
        <v>135</v>
      </c>
      <c r="G352" s="16" t="s">
        <v>17</v>
      </c>
      <c r="H352" s="18">
        <v>19800</v>
      </c>
      <c r="I352" s="19">
        <v>78500</v>
      </c>
      <c r="J352" s="16">
        <v>34</v>
      </c>
      <c r="K352" s="16" t="str">
        <f t="shared" si="21"/>
        <v>Alto</v>
      </c>
      <c r="L352" s="16" t="s">
        <v>14</v>
      </c>
      <c r="M352" s="19">
        <v>23000</v>
      </c>
      <c r="N352" s="16" t="str">
        <f t="shared" si="24"/>
        <v>Aprovado</v>
      </c>
      <c r="O352" s="16" t="str">
        <f t="shared" si="22"/>
        <v>Aprovado</v>
      </c>
      <c r="P352" s="29">
        <f t="shared" si="23"/>
        <v>0</v>
      </c>
    </row>
    <row r="353" spans="1:16" x14ac:dyDescent="0.3">
      <c r="A353" s="20" t="s">
        <v>172</v>
      </c>
      <c r="B353" s="16" t="s">
        <v>39</v>
      </c>
      <c r="C353" s="44">
        <v>24500</v>
      </c>
      <c r="D353" s="20">
        <v>65</v>
      </c>
      <c r="E353" s="17">
        <v>22205</v>
      </c>
      <c r="F353" s="16" t="s">
        <v>135</v>
      </c>
      <c r="G353" s="16" t="s">
        <v>17</v>
      </c>
      <c r="H353" s="19">
        <v>19800</v>
      </c>
      <c r="I353" s="19">
        <v>78500</v>
      </c>
      <c r="J353" s="16">
        <v>34</v>
      </c>
      <c r="K353" s="16" t="str">
        <f t="shared" si="21"/>
        <v>Alto</v>
      </c>
      <c r="L353" s="16" t="s">
        <v>14</v>
      </c>
      <c r="M353" s="19">
        <v>84000</v>
      </c>
      <c r="N353" s="16" t="str">
        <f t="shared" si="24"/>
        <v>Aprovado</v>
      </c>
      <c r="O353" s="16" t="str">
        <f t="shared" si="22"/>
        <v>Aprovado</v>
      </c>
      <c r="P353" s="29">
        <f t="shared" si="23"/>
        <v>0</v>
      </c>
    </row>
    <row r="354" spans="1:16" x14ac:dyDescent="0.3">
      <c r="A354" s="20" t="s">
        <v>171</v>
      </c>
      <c r="B354" s="16" t="s">
        <v>459</v>
      </c>
      <c r="C354" s="44">
        <v>1200</v>
      </c>
      <c r="D354" s="20">
        <v>53</v>
      </c>
      <c r="E354" s="17">
        <v>26631</v>
      </c>
      <c r="F354" s="16" t="s">
        <v>148</v>
      </c>
      <c r="G354" s="16" t="s">
        <v>25</v>
      </c>
      <c r="H354" s="18">
        <v>22700</v>
      </c>
      <c r="I354" s="19">
        <v>42500</v>
      </c>
      <c r="J354" s="16">
        <v>25</v>
      </c>
      <c r="K354" s="16" t="str">
        <f t="shared" si="21"/>
        <v>Médio</v>
      </c>
      <c r="L354" s="16" t="s">
        <v>13</v>
      </c>
      <c r="M354" s="19">
        <v>86000</v>
      </c>
      <c r="N354" s="16" t="str">
        <f t="shared" si="24"/>
        <v>Aprovado</v>
      </c>
      <c r="O354" s="16" t="str">
        <f t="shared" si="22"/>
        <v>Aprovado</v>
      </c>
      <c r="P354" s="29">
        <f t="shared" si="23"/>
        <v>6880</v>
      </c>
    </row>
    <row r="355" spans="1:16" x14ac:dyDescent="0.3">
      <c r="A355" s="20" t="s">
        <v>171</v>
      </c>
      <c r="B355" s="16" t="s">
        <v>460</v>
      </c>
      <c r="C355" s="44">
        <v>0</v>
      </c>
      <c r="D355" s="20">
        <f ca="1">DATEDIF(E355,TODAY(),"Y")</f>
        <v>40</v>
      </c>
      <c r="E355" s="17">
        <v>31337</v>
      </c>
      <c r="F355" s="16" t="s">
        <v>149</v>
      </c>
      <c r="G355" s="16" t="s">
        <v>16</v>
      </c>
      <c r="H355" s="18">
        <v>14000</v>
      </c>
      <c r="I355" s="19">
        <v>0</v>
      </c>
      <c r="J355" s="16">
        <v>24</v>
      </c>
      <c r="K355" s="16" t="str">
        <f t="shared" si="21"/>
        <v>Médio</v>
      </c>
      <c r="L355" s="16" t="s">
        <v>14</v>
      </c>
      <c r="M355" s="19">
        <v>82000</v>
      </c>
      <c r="N355" s="16" t="str">
        <f t="shared" si="24"/>
        <v>Aprovado</v>
      </c>
      <c r="O355" s="16" t="str">
        <f t="shared" si="22"/>
        <v>Aprovado</v>
      </c>
      <c r="P355" s="29">
        <f t="shared" si="23"/>
        <v>6560</v>
      </c>
    </row>
    <row r="356" spans="1:16" x14ac:dyDescent="0.3">
      <c r="A356" s="20" t="s">
        <v>171</v>
      </c>
      <c r="B356" s="16" t="s">
        <v>461</v>
      </c>
      <c r="C356" s="44">
        <v>23900</v>
      </c>
      <c r="D356" s="20">
        <v>39</v>
      </c>
      <c r="E356" s="17">
        <v>31740</v>
      </c>
      <c r="F356" s="16" t="s">
        <v>136</v>
      </c>
      <c r="G356" s="16" t="s">
        <v>28</v>
      </c>
      <c r="H356" s="18">
        <v>13200</v>
      </c>
      <c r="I356" s="19">
        <v>0</v>
      </c>
      <c r="J356" s="16">
        <v>38</v>
      </c>
      <c r="K356" s="16" t="str">
        <f t="shared" si="21"/>
        <v>Alto</v>
      </c>
      <c r="L356" s="16" t="s">
        <v>14</v>
      </c>
      <c r="M356" s="19">
        <v>36000</v>
      </c>
      <c r="N356" s="16" t="str">
        <f t="shared" si="24"/>
        <v>Aprovado</v>
      </c>
      <c r="O356" s="16" t="str">
        <f t="shared" si="22"/>
        <v>Aprovado</v>
      </c>
      <c r="P356" s="29">
        <f t="shared" si="23"/>
        <v>2880</v>
      </c>
    </row>
    <row r="357" spans="1:16" x14ac:dyDescent="0.3">
      <c r="A357" s="20" t="s">
        <v>171</v>
      </c>
      <c r="B357" s="16" t="s">
        <v>461</v>
      </c>
      <c r="C357" s="44">
        <v>28000</v>
      </c>
      <c r="D357" s="20">
        <v>41</v>
      </c>
      <c r="E357" s="17">
        <v>31156</v>
      </c>
      <c r="F357" s="16" t="s">
        <v>143</v>
      </c>
      <c r="G357" s="16" t="s">
        <v>17</v>
      </c>
      <c r="H357" s="18">
        <v>26500</v>
      </c>
      <c r="I357" s="19">
        <v>29500</v>
      </c>
      <c r="J357" s="16">
        <v>5</v>
      </c>
      <c r="K357" s="16" t="str">
        <f t="shared" si="21"/>
        <v>Baixo</v>
      </c>
      <c r="L357" s="16" t="s">
        <v>14</v>
      </c>
      <c r="M357" s="19">
        <v>75000</v>
      </c>
      <c r="N357" s="16" t="str">
        <f t="shared" si="24"/>
        <v>Aprovado</v>
      </c>
      <c r="O357" s="16" t="str">
        <f t="shared" si="22"/>
        <v>Aprovado</v>
      </c>
      <c r="P357" s="29">
        <f t="shared" si="23"/>
        <v>6000</v>
      </c>
    </row>
    <row r="358" spans="1:16" x14ac:dyDescent="0.3">
      <c r="A358" s="20" t="s">
        <v>171</v>
      </c>
      <c r="B358" s="16" t="s">
        <v>462</v>
      </c>
      <c r="C358" s="44">
        <v>0</v>
      </c>
      <c r="D358" s="20">
        <v>27</v>
      </c>
      <c r="E358" s="17">
        <v>36152</v>
      </c>
      <c r="F358" s="16" t="s">
        <v>132</v>
      </c>
      <c r="G358" s="16" t="s">
        <v>23</v>
      </c>
      <c r="H358" s="18">
        <v>30000</v>
      </c>
      <c r="I358" s="19">
        <v>27000</v>
      </c>
      <c r="J358" s="16">
        <v>28</v>
      </c>
      <c r="K358" s="16" t="str">
        <f t="shared" si="21"/>
        <v>Alto</v>
      </c>
      <c r="L358" s="16" t="s">
        <v>14</v>
      </c>
      <c r="M358" s="19">
        <v>28500</v>
      </c>
      <c r="N358" s="16" t="str">
        <f t="shared" si="24"/>
        <v>Aprovado</v>
      </c>
      <c r="O358" s="16" t="str">
        <f t="shared" si="22"/>
        <v>Aprovado</v>
      </c>
      <c r="P358" s="29">
        <f t="shared" si="23"/>
        <v>2280</v>
      </c>
    </row>
    <row r="359" spans="1:16" x14ac:dyDescent="0.3">
      <c r="A359" s="20" t="s">
        <v>171</v>
      </c>
      <c r="B359" s="16" t="s">
        <v>463</v>
      </c>
      <c r="C359" s="44">
        <v>20100</v>
      </c>
      <c r="D359" s="20">
        <f ca="1">DATEDIF(E359,TODAY(),"Y")</f>
        <v>55</v>
      </c>
      <c r="E359" s="17">
        <v>25925</v>
      </c>
      <c r="F359" s="16" t="s">
        <v>136</v>
      </c>
      <c r="G359" s="16" t="s">
        <v>28</v>
      </c>
      <c r="H359" s="18">
        <v>20200</v>
      </c>
      <c r="I359" s="19">
        <v>61000</v>
      </c>
      <c r="J359" s="16">
        <v>10</v>
      </c>
      <c r="K359" s="16" t="str">
        <f t="shared" si="21"/>
        <v>Baixo</v>
      </c>
      <c r="L359" s="16" t="s">
        <v>14</v>
      </c>
      <c r="M359" s="19">
        <v>6500</v>
      </c>
      <c r="N359" s="16" t="str">
        <f t="shared" si="24"/>
        <v>Aprovado</v>
      </c>
      <c r="O359" s="16" t="str">
        <f t="shared" si="22"/>
        <v>Aprovado</v>
      </c>
      <c r="P359" s="29">
        <f t="shared" si="23"/>
        <v>520</v>
      </c>
    </row>
    <row r="360" spans="1:16" x14ac:dyDescent="0.3">
      <c r="A360" s="20" t="s">
        <v>171</v>
      </c>
      <c r="B360" s="16" t="s">
        <v>463</v>
      </c>
      <c r="C360" s="44">
        <v>10400</v>
      </c>
      <c r="D360" s="20">
        <v>51</v>
      </c>
      <c r="E360" s="17">
        <v>27421</v>
      </c>
      <c r="F360" s="16" t="s">
        <v>21</v>
      </c>
      <c r="G360" s="16" t="s">
        <v>21</v>
      </c>
      <c r="H360" s="18">
        <v>26000</v>
      </c>
      <c r="I360" s="19">
        <v>47500</v>
      </c>
      <c r="J360" s="16">
        <v>45</v>
      </c>
      <c r="K360" s="16" t="str">
        <f t="shared" si="21"/>
        <v>Alto</v>
      </c>
      <c r="L360" s="16" t="s">
        <v>14</v>
      </c>
      <c r="M360" s="19">
        <v>60500</v>
      </c>
      <c r="N360" s="16" t="str">
        <f t="shared" si="24"/>
        <v>Aprovado</v>
      </c>
      <c r="O360" s="16" t="str">
        <f t="shared" si="22"/>
        <v>Aprovado</v>
      </c>
      <c r="P360" s="29">
        <f t="shared" si="23"/>
        <v>4840</v>
      </c>
    </row>
    <row r="361" spans="1:16" x14ac:dyDescent="0.3">
      <c r="A361" s="20" t="s">
        <v>171</v>
      </c>
      <c r="B361" s="16" t="s">
        <v>464</v>
      </c>
      <c r="C361" s="44">
        <v>3900</v>
      </c>
      <c r="D361" s="20">
        <v>33</v>
      </c>
      <c r="E361" s="17">
        <v>34147</v>
      </c>
      <c r="F361" s="16" t="s">
        <v>133</v>
      </c>
      <c r="G361" s="16" t="s">
        <v>27</v>
      </c>
      <c r="H361" s="18">
        <v>28700</v>
      </c>
      <c r="I361" s="19">
        <v>12500</v>
      </c>
      <c r="J361" s="16">
        <v>41</v>
      </c>
      <c r="K361" s="16" t="str">
        <f t="shared" si="21"/>
        <v>Alto</v>
      </c>
      <c r="L361" s="16" t="s">
        <v>14</v>
      </c>
      <c r="M361" s="19">
        <v>99500</v>
      </c>
      <c r="N361" s="16" t="str">
        <f t="shared" si="24"/>
        <v>Aprovado</v>
      </c>
      <c r="O361" s="16" t="str">
        <f t="shared" si="22"/>
        <v>Aprovado</v>
      </c>
      <c r="P361" s="29">
        <f t="shared" si="23"/>
        <v>7960</v>
      </c>
    </row>
    <row r="362" spans="1:16" x14ac:dyDescent="0.3">
      <c r="A362" s="20" t="s">
        <v>172</v>
      </c>
      <c r="B362" s="16" t="s">
        <v>465</v>
      </c>
      <c r="C362" s="44">
        <v>8700</v>
      </c>
      <c r="D362" s="20">
        <v>63</v>
      </c>
      <c r="E362" s="17">
        <v>22994</v>
      </c>
      <c r="F362" s="16" t="s">
        <v>136</v>
      </c>
      <c r="G362" s="16" t="s">
        <v>28</v>
      </c>
      <c r="H362" s="18">
        <v>20000</v>
      </c>
      <c r="I362" s="19">
        <v>29500</v>
      </c>
      <c r="J362" s="16">
        <v>42</v>
      </c>
      <c r="K362" s="16" t="str">
        <f t="shared" si="21"/>
        <v>Alto</v>
      </c>
      <c r="L362" s="16" t="s">
        <v>14</v>
      </c>
      <c r="M362" s="19">
        <v>5000</v>
      </c>
      <c r="N362" s="16" t="str">
        <f t="shared" si="24"/>
        <v>Aprovado</v>
      </c>
      <c r="O362" s="16" t="str">
        <f t="shared" si="22"/>
        <v>Aprovado</v>
      </c>
      <c r="P362" s="29">
        <f t="shared" si="23"/>
        <v>0</v>
      </c>
    </row>
    <row r="363" spans="1:16" x14ac:dyDescent="0.3">
      <c r="A363" s="20" t="s">
        <v>172</v>
      </c>
      <c r="B363" s="16" t="s">
        <v>466</v>
      </c>
      <c r="C363" s="44">
        <v>900</v>
      </c>
      <c r="D363" s="20">
        <v>58</v>
      </c>
      <c r="E363" s="17">
        <v>24872</v>
      </c>
      <c r="F363" s="16" t="s">
        <v>136</v>
      </c>
      <c r="G363" s="16" t="s">
        <v>28</v>
      </c>
      <c r="H363" s="18">
        <v>12500</v>
      </c>
      <c r="I363" s="19">
        <v>44500</v>
      </c>
      <c r="J363" s="16">
        <v>13</v>
      </c>
      <c r="K363" s="16" t="str">
        <f t="shared" si="21"/>
        <v>Médio</v>
      </c>
      <c r="L363" s="16" t="s">
        <v>14</v>
      </c>
      <c r="M363" s="19">
        <v>16000</v>
      </c>
      <c r="N363" s="16" t="str">
        <f t="shared" si="24"/>
        <v>Aprovado</v>
      </c>
      <c r="O363" s="16" t="str">
        <f t="shared" si="22"/>
        <v>Aprovado</v>
      </c>
      <c r="P363" s="29">
        <f t="shared" si="23"/>
        <v>0</v>
      </c>
    </row>
    <row r="364" spans="1:16" x14ac:dyDescent="0.3">
      <c r="A364" s="20" t="s">
        <v>172</v>
      </c>
      <c r="B364" s="16" t="s">
        <v>466</v>
      </c>
      <c r="C364" s="44">
        <v>900</v>
      </c>
      <c r="D364" s="20">
        <v>58</v>
      </c>
      <c r="E364" s="17">
        <v>24872</v>
      </c>
      <c r="F364" s="16" t="s">
        <v>136</v>
      </c>
      <c r="G364" s="16" t="s">
        <v>28</v>
      </c>
      <c r="H364" s="18">
        <v>12500</v>
      </c>
      <c r="I364" s="19">
        <v>44500</v>
      </c>
      <c r="J364" s="16">
        <v>13</v>
      </c>
      <c r="K364" s="16" t="str">
        <f t="shared" si="21"/>
        <v>Médio</v>
      </c>
      <c r="L364" s="16" t="s">
        <v>14</v>
      </c>
      <c r="M364" s="19">
        <v>98500</v>
      </c>
      <c r="N364" s="16" t="str">
        <f t="shared" si="24"/>
        <v>Aprovado</v>
      </c>
      <c r="O364" s="16" t="str">
        <f t="shared" si="22"/>
        <v>Aprovado</v>
      </c>
      <c r="P364" s="29">
        <f t="shared" si="23"/>
        <v>0</v>
      </c>
    </row>
    <row r="365" spans="1:16" x14ac:dyDescent="0.3">
      <c r="A365" s="20" t="s">
        <v>171</v>
      </c>
      <c r="B365" s="16" t="s">
        <v>467</v>
      </c>
      <c r="C365" s="44">
        <v>28400</v>
      </c>
      <c r="D365" s="20">
        <v>42</v>
      </c>
      <c r="E365" s="17">
        <v>30662</v>
      </c>
      <c r="F365" s="16" t="s">
        <v>135</v>
      </c>
      <c r="G365" s="16" t="s">
        <v>17</v>
      </c>
      <c r="H365" s="18">
        <v>20400</v>
      </c>
      <c r="I365" s="19">
        <v>0</v>
      </c>
      <c r="J365" s="16">
        <v>0</v>
      </c>
      <c r="K365" s="16" t="str">
        <f t="shared" si="21"/>
        <v>Baixo</v>
      </c>
      <c r="L365" s="16" t="s">
        <v>14</v>
      </c>
      <c r="M365" s="19">
        <v>81000</v>
      </c>
      <c r="N365" s="16" t="str">
        <f t="shared" si="24"/>
        <v>Aprovado</v>
      </c>
      <c r="O365" s="16" t="str">
        <f t="shared" si="22"/>
        <v>Aprovado</v>
      </c>
      <c r="P365" s="29">
        <f t="shared" si="23"/>
        <v>6480</v>
      </c>
    </row>
    <row r="366" spans="1:16" x14ac:dyDescent="0.3">
      <c r="A366" s="20" t="s">
        <v>171</v>
      </c>
      <c r="B366" s="16" t="s">
        <v>468</v>
      </c>
      <c r="C366" s="44">
        <v>29700</v>
      </c>
      <c r="D366" s="20">
        <v>55</v>
      </c>
      <c r="E366" s="17">
        <v>25880</v>
      </c>
      <c r="F366" s="16" t="s">
        <v>150</v>
      </c>
      <c r="G366" s="16" t="s">
        <v>15</v>
      </c>
      <c r="H366" s="18">
        <v>27500</v>
      </c>
      <c r="I366" s="19">
        <v>14000</v>
      </c>
      <c r="J366" s="16">
        <v>3</v>
      </c>
      <c r="K366" s="16" t="str">
        <f t="shared" si="21"/>
        <v>Baixo</v>
      </c>
      <c r="L366" s="16" t="s">
        <v>14</v>
      </c>
      <c r="M366" s="19">
        <v>11500</v>
      </c>
      <c r="N366" s="16" t="str">
        <f t="shared" si="24"/>
        <v>Aprovado</v>
      </c>
      <c r="O366" s="16" t="str">
        <f t="shared" si="22"/>
        <v>Aprovado</v>
      </c>
      <c r="P366" s="29">
        <f t="shared" si="23"/>
        <v>920</v>
      </c>
    </row>
    <row r="367" spans="1:16" x14ac:dyDescent="0.3">
      <c r="A367" s="20" t="s">
        <v>171</v>
      </c>
      <c r="B367" s="16" t="s">
        <v>469</v>
      </c>
      <c r="C367" s="44">
        <v>37800</v>
      </c>
      <c r="D367" s="20">
        <v>34</v>
      </c>
      <c r="E367" s="17">
        <v>33746</v>
      </c>
      <c r="F367" s="16" t="s">
        <v>21</v>
      </c>
      <c r="G367" s="16" t="s">
        <v>21</v>
      </c>
      <c r="H367" s="18">
        <v>28900</v>
      </c>
      <c r="I367" s="19">
        <v>37000</v>
      </c>
      <c r="J367" s="16">
        <v>21</v>
      </c>
      <c r="K367" s="16" t="str">
        <f t="shared" si="21"/>
        <v>Médio</v>
      </c>
      <c r="L367" s="16" t="s">
        <v>14</v>
      </c>
      <c r="M367" s="19">
        <v>97500</v>
      </c>
      <c r="N367" s="16" t="str">
        <f t="shared" si="24"/>
        <v>Aprovado</v>
      </c>
      <c r="O367" s="16" t="str">
        <f t="shared" si="22"/>
        <v>Aprovado</v>
      </c>
      <c r="P367" s="29">
        <f t="shared" si="23"/>
        <v>7800</v>
      </c>
    </row>
    <row r="368" spans="1:16" x14ac:dyDescent="0.3">
      <c r="A368" s="20" t="s">
        <v>171</v>
      </c>
      <c r="B368" s="16" t="s">
        <v>470</v>
      </c>
      <c r="C368" s="44">
        <v>18700</v>
      </c>
      <c r="D368" s="20">
        <v>39</v>
      </c>
      <c r="E368" s="17">
        <v>31972</v>
      </c>
      <c r="F368" s="16" t="s">
        <v>157</v>
      </c>
      <c r="G368" s="16" t="s">
        <v>16</v>
      </c>
      <c r="H368" s="18">
        <v>8700</v>
      </c>
      <c r="I368" s="19">
        <v>4500</v>
      </c>
      <c r="J368" s="16">
        <v>16</v>
      </c>
      <c r="K368" s="16" t="str">
        <f t="shared" si="21"/>
        <v>Médio</v>
      </c>
      <c r="L368" s="16" t="s">
        <v>14</v>
      </c>
      <c r="M368" s="19">
        <v>93500</v>
      </c>
      <c r="N368" s="16" t="str">
        <f t="shared" si="24"/>
        <v>Aprovado</v>
      </c>
      <c r="O368" s="16" t="str">
        <f t="shared" si="22"/>
        <v>Aprovado</v>
      </c>
      <c r="P368" s="29">
        <f t="shared" si="23"/>
        <v>7480</v>
      </c>
    </row>
    <row r="369" spans="1:16" x14ac:dyDescent="0.3">
      <c r="A369" s="20" t="s">
        <v>172</v>
      </c>
      <c r="B369" s="16" t="s">
        <v>471</v>
      </c>
      <c r="C369" s="44">
        <v>10000</v>
      </c>
      <c r="D369" s="20">
        <v>67</v>
      </c>
      <c r="E369" s="17">
        <v>21674</v>
      </c>
      <c r="F369" s="16" t="s">
        <v>148</v>
      </c>
      <c r="G369" s="16" t="s">
        <v>25</v>
      </c>
      <c r="H369" s="18">
        <v>15200</v>
      </c>
      <c r="I369" s="19">
        <v>67500</v>
      </c>
      <c r="J369" s="16">
        <v>12</v>
      </c>
      <c r="K369" s="16" t="str">
        <f t="shared" si="21"/>
        <v>Médio</v>
      </c>
      <c r="L369" s="16" t="s">
        <v>14</v>
      </c>
      <c r="M369" s="19">
        <v>97500</v>
      </c>
      <c r="N369" s="16" t="str">
        <f t="shared" si="24"/>
        <v>Aprovado</v>
      </c>
      <c r="O369" s="16" t="str">
        <f t="shared" si="22"/>
        <v>Aprovado</v>
      </c>
      <c r="P369" s="29">
        <f t="shared" si="23"/>
        <v>0</v>
      </c>
    </row>
    <row r="370" spans="1:16" x14ac:dyDescent="0.3">
      <c r="A370" s="20" t="s">
        <v>172</v>
      </c>
      <c r="B370" s="16" t="s">
        <v>472</v>
      </c>
      <c r="C370" s="44">
        <v>28100</v>
      </c>
      <c r="D370" s="20">
        <v>51</v>
      </c>
      <c r="E370" s="17">
        <v>27590</v>
      </c>
      <c r="F370" s="16" t="s">
        <v>154</v>
      </c>
      <c r="G370" s="16" t="s">
        <v>23</v>
      </c>
      <c r="H370" s="18">
        <v>11400</v>
      </c>
      <c r="I370" s="19">
        <v>0</v>
      </c>
      <c r="J370" s="16">
        <v>17</v>
      </c>
      <c r="K370" s="16" t="str">
        <f t="shared" si="21"/>
        <v>Médio</v>
      </c>
      <c r="L370" s="16" t="s">
        <v>14</v>
      </c>
      <c r="M370" s="19">
        <v>55500</v>
      </c>
      <c r="N370" s="16" t="str">
        <f t="shared" si="24"/>
        <v>Aprovado</v>
      </c>
      <c r="O370" s="16" t="str">
        <f t="shared" si="22"/>
        <v>Aprovado</v>
      </c>
      <c r="P370" s="29">
        <f t="shared" si="23"/>
        <v>0</v>
      </c>
    </row>
    <row r="371" spans="1:16" x14ac:dyDescent="0.3">
      <c r="A371" s="20" t="s">
        <v>171</v>
      </c>
      <c r="B371" s="16" t="s">
        <v>473</v>
      </c>
      <c r="C371" s="44">
        <v>0</v>
      </c>
      <c r="D371" s="20">
        <v>41</v>
      </c>
      <c r="E371" s="17">
        <v>30992</v>
      </c>
      <c r="F371" s="16" t="s">
        <v>141</v>
      </c>
      <c r="G371" s="16" t="s">
        <v>33</v>
      </c>
      <c r="H371" s="18">
        <v>28600</v>
      </c>
      <c r="I371" s="19">
        <v>67500</v>
      </c>
      <c r="J371" s="16">
        <v>39</v>
      </c>
      <c r="K371" s="16" t="str">
        <f t="shared" si="21"/>
        <v>Alto</v>
      </c>
      <c r="L371" s="16" t="s">
        <v>14</v>
      </c>
      <c r="M371" s="19">
        <v>22000</v>
      </c>
      <c r="N371" s="16" t="str">
        <f t="shared" si="24"/>
        <v>Aprovado</v>
      </c>
      <c r="O371" s="16" t="str">
        <f t="shared" si="22"/>
        <v>Aprovado</v>
      </c>
      <c r="P371" s="29">
        <f t="shared" si="23"/>
        <v>1760</v>
      </c>
    </row>
    <row r="372" spans="1:16" x14ac:dyDescent="0.3">
      <c r="A372" s="20" t="s">
        <v>171</v>
      </c>
      <c r="B372" s="16" t="s">
        <v>474</v>
      </c>
      <c r="C372" s="44">
        <v>0</v>
      </c>
      <c r="D372" s="20">
        <v>24</v>
      </c>
      <c r="E372" s="17">
        <v>37470</v>
      </c>
      <c r="F372" s="16" t="s">
        <v>134</v>
      </c>
      <c r="G372" s="16" t="s">
        <v>15</v>
      </c>
      <c r="H372" s="18">
        <v>16900</v>
      </c>
      <c r="I372" s="19">
        <v>42500</v>
      </c>
      <c r="J372" s="16">
        <v>26</v>
      </c>
      <c r="K372" s="16" t="str">
        <f t="shared" si="21"/>
        <v>Alto</v>
      </c>
      <c r="L372" s="16" t="s">
        <v>13</v>
      </c>
      <c r="M372" s="19">
        <v>12500</v>
      </c>
      <c r="N372" s="16" t="str">
        <f t="shared" si="24"/>
        <v>Negado</v>
      </c>
      <c r="O372" s="16" t="str">
        <f t="shared" si="22"/>
        <v>Aprovado</v>
      </c>
      <c r="P372" s="29">
        <f t="shared" si="23"/>
        <v>1000</v>
      </c>
    </row>
    <row r="373" spans="1:16" x14ac:dyDescent="0.3">
      <c r="A373" s="20" t="s">
        <v>171</v>
      </c>
      <c r="B373" s="16" t="s">
        <v>475</v>
      </c>
      <c r="C373" s="44">
        <v>27900</v>
      </c>
      <c r="D373" s="20">
        <v>71</v>
      </c>
      <c r="E373" s="17">
        <v>20094</v>
      </c>
      <c r="F373" s="16" t="s">
        <v>154</v>
      </c>
      <c r="G373" s="16" t="s">
        <v>23</v>
      </c>
      <c r="H373" s="18">
        <v>24100</v>
      </c>
      <c r="I373" s="19">
        <v>0</v>
      </c>
      <c r="J373" s="16">
        <v>10</v>
      </c>
      <c r="K373" s="16" t="str">
        <f t="shared" si="21"/>
        <v>Baixo</v>
      </c>
      <c r="L373" s="16" t="s">
        <v>14</v>
      </c>
      <c r="M373" s="19">
        <v>87000</v>
      </c>
      <c r="N373" s="16" t="str">
        <f t="shared" si="24"/>
        <v>Aprovado</v>
      </c>
      <c r="O373" s="16" t="str">
        <f t="shared" si="22"/>
        <v>Aprovado</v>
      </c>
      <c r="P373" s="29">
        <f t="shared" si="23"/>
        <v>6960</v>
      </c>
    </row>
    <row r="374" spans="1:16" x14ac:dyDescent="0.3">
      <c r="A374" s="20" t="s">
        <v>171</v>
      </c>
      <c r="B374" s="16" t="s">
        <v>476</v>
      </c>
      <c r="C374" s="44">
        <v>0</v>
      </c>
      <c r="D374" s="20">
        <v>42</v>
      </c>
      <c r="E374" s="17">
        <v>30724</v>
      </c>
      <c r="F374" s="16" t="s">
        <v>140</v>
      </c>
      <c r="G374" s="16" t="s">
        <v>17</v>
      </c>
      <c r="H374" s="18">
        <v>18500</v>
      </c>
      <c r="I374" s="19">
        <v>59000</v>
      </c>
      <c r="J374" s="16">
        <v>44</v>
      </c>
      <c r="K374" s="16" t="str">
        <f t="shared" si="21"/>
        <v>Alto</v>
      </c>
      <c r="L374" s="16" t="s">
        <v>14</v>
      </c>
      <c r="M374" s="19">
        <v>16500</v>
      </c>
      <c r="N374" s="16" t="str">
        <f t="shared" si="24"/>
        <v>Aprovado</v>
      </c>
      <c r="O374" s="16" t="str">
        <f t="shared" si="22"/>
        <v>Aprovado</v>
      </c>
      <c r="P374" s="29">
        <f t="shared" si="23"/>
        <v>1320</v>
      </c>
    </row>
    <row r="375" spans="1:16" x14ac:dyDescent="0.3">
      <c r="A375" s="20" t="s">
        <v>171</v>
      </c>
      <c r="B375" s="16" t="s">
        <v>477</v>
      </c>
      <c r="C375" s="44">
        <v>29000</v>
      </c>
      <c r="D375" s="20">
        <v>50</v>
      </c>
      <c r="E375" s="17" t="s">
        <v>130</v>
      </c>
      <c r="F375" s="16" t="s">
        <v>157</v>
      </c>
      <c r="G375" s="16" t="s">
        <v>16</v>
      </c>
      <c r="H375" s="18">
        <v>23100</v>
      </c>
      <c r="I375" s="19">
        <v>55000</v>
      </c>
      <c r="J375" s="16">
        <v>9</v>
      </c>
      <c r="K375" s="16" t="str">
        <f t="shared" si="21"/>
        <v>Baixo</v>
      </c>
      <c r="L375" s="16" t="s">
        <v>14</v>
      </c>
      <c r="M375" s="19">
        <v>17000</v>
      </c>
      <c r="N375" s="16" t="str">
        <f t="shared" si="24"/>
        <v>Aprovado</v>
      </c>
      <c r="O375" s="16" t="str">
        <f t="shared" si="22"/>
        <v>Aprovado</v>
      </c>
      <c r="P375" s="29">
        <f t="shared" si="23"/>
        <v>1360</v>
      </c>
    </row>
    <row r="376" spans="1:16" x14ac:dyDescent="0.3">
      <c r="A376" s="20" t="s">
        <v>172</v>
      </c>
      <c r="B376" s="16" t="s">
        <v>478</v>
      </c>
      <c r="C376" s="44">
        <v>0</v>
      </c>
      <c r="D376" s="20">
        <v>54</v>
      </c>
      <c r="E376" s="17">
        <v>26453</v>
      </c>
      <c r="F376" s="16" t="s">
        <v>148</v>
      </c>
      <c r="G376" s="16" t="s">
        <v>25</v>
      </c>
      <c r="H376" s="18">
        <v>3900</v>
      </c>
      <c r="I376" s="19">
        <v>80000</v>
      </c>
      <c r="J376" s="16">
        <v>41</v>
      </c>
      <c r="K376" s="16" t="str">
        <f t="shared" si="21"/>
        <v>Alto</v>
      </c>
      <c r="L376" s="16" t="s">
        <v>14</v>
      </c>
      <c r="M376" s="19">
        <v>30000</v>
      </c>
      <c r="N376" s="16" t="str">
        <f t="shared" si="24"/>
        <v>Aprovado</v>
      </c>
      <c r="O376" s="16" t="str">
        <f t="shared" si="22"/>
        <v>Aprovado</v>
      </c>
      <c r="P376" s="29">
        <f t="shared" si="23"/>
        <v>0</v>
      </c>
    </row>
    <row r="377" spans="1:16" x14ac:dyDescent="0.3">
      <c r="A377" s="20" t="s">
        <v>171</v>
      </c>
      <c r="B377" s="16" t="s">
        <v>479</v>
      </c>
      <c r="C377" s="44">
        <v>0</v>
      </c>
      <c r="D377" s="20">
        <v>23</v>
      </c>
      <c r="E377" s="17">
        <v>37566</v>
      </c>
      <c r="F377" s="16" t="s">
        <v>138</v>
      </c>
      <c r="G377" s="16" t="s">
        <v>27</v>
      </c>
      <c r="H377" s="18">
        <v>2600</v>
      </c>
      <c r="I377" s="19">
        <v>0</v>
      </c>
      <c r="J377" s="16">
        <v>30</v>
      </c>
      <c r="K377" s="16" t="str">
        <f t="shared" si="21"/>
        <v>Alto</v>
      </c>
      <c r="L377" s="16" t="s">
        <v>13</v>
      </c>
      <c r="M377" s="19">
        <v>11000</v>
      </c>
      <c r="N377" s="16" t="str">
        <f t="shared" si="24"/>
        <v>Negado</v>
      </c>
      <c r="O377" s="16" t="str">
        <f t="shared" si="22"/>
        <v>Aprovado</v>
      </c>
      <c r="P377" s="29">
        <f t="shared" si="23"/>
        <v>880</v>
      </c>
    </row>
    <row r="378" spans="1:16" x14ac:dyDescent="0.3">
      <c r="A378" s="20" t="s">
        <v>171</v>
      </c>
      <c r="B378" s="16" t="s">
        <v>480</v>
      </c>
      <c r="C378" s="44">
        <v>9700</v>
      </c>
      <c r="D378" s="20">
        <v>56</v>
      </c>
      <c r="E378" s="17">
        <v>25808</v>
      </c>
      <c r="F378" s="16" t="s">
        <v>142</v>
      </c>
      <c r="G378" s="16" t="s">
        <v>23</v>
      </c>
      <c r="H378" s="18">
        <v>5400</v>
      </c>
      <c r="I378" s="19">
        <v>61000</v>
      </c>
      <c r="J378" s="16">
        <v>12</v>
      </c>
      <c r="K378" s="16" t="str">
        <f t="shared" si="21"/>
        <v>Médio</v>
      </c>
      <c r="L378" s="16" t="s">
        <v>14</v>
      </c>
      <c r="M378" s="19">
        <v>96500</v>
      </c>
      <c r="N378" s="16" t="str">
        <f t="shared" si="24"/>
        <v>Aprovado</v>
      </c>
      <c r="O378" s="16" t="str">
        <f t="shared" si="22"/>
        <v>Aprovado</v>
      </c>
      <c r="P378" s="29">
        <f t="shared" si="23"/>
        <v>7720</v>
      </c>
    </row>
    <row r="379" spans="1:16" x14ac:dyDescent="0.3">
      <c r="A379" s="20" t="s">
        <v>171</v>
      </c>
      <c r="B379" s="16" t="s">
        <v>481</v>
      </c>
      <c r="C379" s="44">
        <v>37300</v>
      </c>
      <c r="D379" s="20">
        <v>47</v>
      </c>
      <c r="E379" s="17" t="s">
        <v>130</v>
      </c>
      <c r="F379" s="16" t="s">
        <v>138</v>
      </c>
      <c r="G379" s="16" t="s">
        <v>27</v>
      </c>
      <c r="H379" s="18">
        <v>11600</v>
      </c>
      <c r="I379" s="19">
        <v>63500</v>
      </c>
      <c r="J379" s="16">
        <v>18</v>
      </c>
      <c r="K379" s="16" t="str">
        <f t="shared" si="21"/>
        <v>Médio</v>
      </c>
      <c r="L379" s="16" t="s">
        <v>14</v>
      </c>
      <c r="M379" s="19">
        <v>3000</v>
      </c>
      <c r="N379" s="16" t="str">
        <f t="shared" si="24"/>
        <v>Aprovado</v>
      </c>
      <c r="O379" s="16" t="str">
        <f t="shared" si="22"/>
        <v>Aprovado</v>
      </c>
      <c r="P379" s="29">
        <f t="shared" si="23"/>
        <v>240</v>
      </c>
    </row>
    <row r="380" spans="1:16" x14ac:dyDescent="0.3">
      <c r="A380" s="20" t="s">
        <v>171</v>
      </c>
      <c r="B380" s="16" t="s">
        <v>482</v>
      </c>
      <c r="C380" s="44">
        <v>27200</v>
      </c>
      <c r="D380" s="20">
        <v>56</v>
      </c>
      <c r="E380" s="17">
        <v>25710</v>
      </c>
      <c r="F380" s="16" t="s">
        <v>143</v>
      </c>
      <c r="G380" s="16" t="s">
        <v>17</v>
      </c>
      <c r="H380" s="18">
        <v>14100</v>
      </c>
      <c r="I380" s="19">
        <v>1500</v>
      </c>
      <c r="J380" s="16">
        <v>26</v>
      </c>
      <c r="K380" s="16" t="str">
        <f t="shared" si="21"/>
        <v>Alto</v>
      </c>
      <c r="L380" s="16" t="s">
        <v>14</v>
      </c>
      <c r="M380" s="19">
        <v>36000</v>
      </c>
      <c r="N380" s="16" t="str">
        <f t="shared" si="24"/>
        <v>Aprovado</v>
      </c>
      <c r="O380" s="16" t="str">
        <f t="shared" si="22"/>
        <v>Aprovado</v>
      </c>
      <c r="P380" s="29">
        <f t="shared" si="23"/>
        <v>2880</v>
      </c>
    </row>
    <row r="381" spans="1:16" x14ac:dyDescent="0.3">
      <c r="A381" s="20" t="s">
        <v>171</v>
      </c>
      <c r="B381" s="16" t="s">
        <v>24</v>
      </c>
      <c r="C381" s="44">
        <v>21500</v>
      </c>
      <c r="D381" s="20">
        <v>28</v>
      </c>
      <c r="E381" s="17">
        <v>35887</v>
      </c>
      <c r="F381" s="16" t="s">
        <v>144</v>
      </c>
      <c r="G381" s="16" t="s">
        <v>18</v>
      </c>
      <c r="H381" s="18">
        <v>2000</v>
      </c>
      <c r="I381" s="19">
        <v>51000</v>
      </c>
      <c r="J381" s="16">
        <v>12</v>
      </c>
      <c r="K381" s="16" t="str">
        <f t="shared" si="21"/>
        <v>Médio</v>
      </c>
      <c r="L381" s="16" t="s">
        <v>14</v>
      </c>
      <c r="M381" s="19">
        <v>72500</v>
      </c>
      <c r="N381" s="16" t="str">
        <f t="shared" si="24"/>
        <v>Aprovado</v>
      </c>
      <c r="O381" s="16" t="str">
        <f t="shared" si="22"/>
        <v>Aprovado</v>
      </c>
      <c r="P381" s="29">
        <f t="shared" si="23"/>
        <v>5800</v>
      </c>
    </row>
    <row r="382" spans="1:16" x14ac:dyDescent="0.3">
      <c r="A382" s="20" t="s">
        <v>171</v>
      </c>
      <c r="B382" s="16" t="s">
        <v>483</v>
      </c>
      <c r="C382" s="44">
        <v>0</v>
      </c>
      <c r="D382" s="20">
        <v>57</v>
      </c>
      <c r="E382" s="17">
        <v>25238</v>
      </c>
      <c r="F382" s="16" t="s">
        <v>156</v>
      </c>
      <c r="G382" s="16" t="s">
        <v>163</v>
      </c>
      <c r="H382" s="18">
        <v>3200</v>
      </c>
      <c r="I382" s="19">
        <v>0</v>
      </c>
      <c r="J382" s="16">
        <v>18</v>
      </c>
      <c r="K382" s="16" t="str">
        <f t="shared" si="21"/>
        <v>Médio</v>
      </c>
      <c r="L382" s="16" t="s">
        <v>14</v>
      </c>
      <c r="M382" s="19">
        <v>64000</v>
      </c>
      <c r="N382" s="16" t="str">
        <f t="shared" si="24"/>
        <v>Aprovado</v>
      </c>
      <c r="O382" s="16" t="str">
        <f t="shared" si="22"/>
        <v>Aprovado</v>
      </c>
      <c r="P382" s="29">
        <f t="shared" si="23"/>
        <v>5120</v>
      </c>
    </row>
    <row r="383" spans="1:16" x14ac:dyDescent="0.3">
      <c r="A383" s="20" t="s">
        <v>171</v>
      </c>
      <c r="B383" s="16" t="s">
        <v>484</v>
      </c>
      <c r="C383" s="44">
        <v>36700</v>
      </c>
      <c r="D383" s="20">
        <v>67</v>
      </c>
      <c r="E383" s="17">
        <v>21497</v>
      </c>
      <c r="F383" s="16" t="s">
        <v>146</v>
      </c>
      <c r="G383" s="16" t="s">
        <v>165</v>
      </c>
      <c r="H383" s="18">
        <v>21600</v>
      </c>
      <c r="I383" s="19">
        <v>73500</v>
      </c>
      <c r="J383" s="16">
        <v>7</v>
      </c>
      <c r="K383" s="16" t="str">
        <f t="shared" si="21"/>
        <v>Baixo</v>
      </c>
      <c r="L383" s="16" t="s">
        <v>13</v>
      </c>
      <c r="M383" s="19">
        <v>24500</v>
      </c>
      <c r="N383" s="16" t="str">
        <f t="shared" si="24"/>
        <v>Aprovado</v>
      </c>
      <c r="O383" s="16" t="str">
        <f t="shared" si="22"/>
        <v>Negado</v>
      </c>
      <c r="P383" s="29">
        <f t="shared" si="23"/>
        <v>1960</v>
      </c>
    </row>
    <row r="384" spans="1:16" x14ac:dyDescent="0.3">
      <c r="A384" s="20" t="s">
        <v>171</v>
      </c>
      <c r="B384" s="16" t="s">
        <v>484</v>
      </c>
      <c r="C384" s="44">
        <v>1000</v>
      </c>
      <c r="D384" s="20">
        <v>60</v>
      </c>
      <c r="E384" s="17">
        <v>24054</v>
      </c>
      <c r="F384" s="16" t="s">
        <v>137</v>
      </c>
      <c r="G384" s="16" t="s">
        <v>36</v>
      </c>
      <c r="H384" s="18">
        <v>22600</v>
      </c>
      <c r="I384" s="19">
        <v>80000</v>
      </c>
      <c r="J384" s="16">
        <v>9</v>
      </c>
      <c r="K384" s="16" t="str">
        <f t="shared" si="21"/>
        <v>Baixo</v>
      </c>
      <c r="L384" s="16" t="s">
        <v>14</v>
      </c>
      <c r="M384" s="19">
        <v>58500</v>
      </c>
      <c r="N384" s="16" t="str">
        <f t="shared" si="24"/>
        <v>Aprovado</v>
      </c>
      <c r="O384" s="16" t="str">
        <f t="shared" si="22"/>
        <v>Aprovado</v>
      </c>
      <c r="P384" s="29">
        <f t="shared" si="23"/>
        <v>4680</v>
      </c>
    </row>
    <row r="385" spans="1:16" x14ac:dyDescent="0.3">
      <c r="A385" s="20" t="s">
        <v>172</v>
      </c>
      <c r="B385" s="16" t="s">
        <v>485</v>
      </c>
      <c r="C385" s="44">
        <v>0</v>
      </c>
      <c r="D385" s="20">
        <v>61</v>
      </c>
      <c r="E385" s="17">
        <v>23932</v>
      </c>
      <c r="F385" s="16" t="s">
        <v>157</v>
      </c>
      <c r="G385" s="16" t="s">
        <v>16</v>
      </c>
      <c r="H385" s="18">
        <v>4100</v>
      </c>
      <c r="I385" s="19">
        <v>78000</v>
      </c>
      <c r="J385" s="16">
        <v>25</v>
      </c>
      <c r="K385" s="16" t="str">
        <f t="shared" si="21"/>
        <v>Médio</v>
      </c>
      <c r="L385" s="16" t="s">
        <v>14</v>
      </c>
      <c r="M385" s="19">
        <v>48000</v>
      </c>
      <c r="N385" s="16" t="str">
        <f t="shared" si="24"/>
        <v>Aprovado</v>
      </c>
      <c r="O385" s="16" t="str">
        <f t="shared" si="22"/>
        <v>Aprovado</v>
      </c>
      <c r="P385" s="29">
        <f t="shared" si="23"/>
        <v>0</v>
      </c>
    </row>
    <row r="386" spans="1:16" x14ac:dyDescent="0.3">
      <c r="A386" s="20" t="s">
        <v>171</v>
      </c>
      <c r="B386" s="16" t="s">
        <v>486</v>
      </c>
      <c r="C386" s="44">
        <v>23400</v>
      </c>
      <c r="D386" s="20">
        <v>46</v>
      </c>
      <c r="E386" s="17">
        <v>29197</v>
      </c>
      <c r="F386" s="16" t="s">
        <v>133</v>
      </c>
      <c r="G386" s="16" t="s">
        <v>27</v>
      </c>
      <c r="H386" s="18">
        <v>3200</v>
      </c>
      <c r="I386" s="19">
        <v>0</v>
      </c>
      <c r="J386" s="16">
        <v>16</v>
      </c>
      <c r="K386" s="16" t="str">
        <f t="shared" ref="K386:K401" si="25">IF(J386&gt;25,"Alto", IF(J386&lt;=10,"Baixo","Médio"))</f>
        <v>Médio</v>
      </c>
      <c r="L386" s="16" t="s">
        <v>14</v>
      </c>
      <c r="M386" s="19">
        <v>61500</v>
      </c>
      <c r="N386" s="16" t="str">
        <f t="shared" si="24"/>
        <v>Aprovado</v>
      </c>
      <c r="O386" s="16" t="str">
        <f t="shared" ref="O386:O401" si="26">IF(AND(I386&gt;50000,L386="Sim"),"Negado","Aprovado")</f>
        <v>Aprovado</v>
      </c>
      <c r="P386" s="29">
        <f t="shared" ref="P386:P401" si="27">IF(AND(N386="Negado",O386="Negado"),0, IF(A386="Ativo",M386*8%,0))</f>
        <v>4920</v>
      </c>
    </row>
    <row r="387" spans="1:16" x14ac:dyDescent="0.3">
      <c r="A387" s="20" t="s">
        <v>171</v>
      </c>
      <c r="B387" s="16" t="s">
        <v>487</v>
      </c>
      <c r="C387" s="44">
        <v>15500</v>
      </c>
      <c r="D387" s="20">
        <f ca="1">DATEDIF(E387,TODAY(),"Y")</f>
        <v>19</v>
      </c>
      <c r="E387" s="17">
        <v>39230</v>
      </c>
      <c r="F387" s="16" t="s">
        <v>132</v>
      </c>
      <c r="G387" s="16" t="s">
        <v>23</v>
      </c>
      <c r="H387" s="18">
        <v>18000</v>
      </c>
      <c r="I387" s="19">
        <v>49500</v>
      </c>
      <c r="J387" s="16">
        <v>25</v>
      </c>
      <c r="K387" s="16" t="str">
        <f t="shared" si="25"/>
        <v>Médio</v>
      </c>
      <c r="L387" s="16" t="s">
        <v>14</v>
      </c>
      <c r="M387" s="19">
        <v>46500</v>
      </c>
      <c r="N387" s="16" t="str">
        <f t="shared" si="24"/>
        <v>Aprovado</v>
      </c>
      <c r="O387" s="16" t="str">
        <f t="shared" si="26"/>
        <v>Aprovado</v>
      </c>
      <c r="P387" s="29">
        <f t="shared" si="27"/>
        <v>3720</v>
      </c>
    </row>
    <row r="388" spans="1:16" x14ac:dyDescent="0.3">
      <c r="A388" s="20" t="s">
        <v>172</v>
      </c>
      <c r="B388" s="16" t="s">
        <v>488</v>
      </c>
      <c r="C388" s="44">
        <v>18600</v>
      </c>
      <c r="D388" s="20">
        <v>33</v>
      </c>
      <c r="E388" s="17">
        <v>33955</v>
      </c>
      <c r="F388" s="16" t="s">
        <v>153</v>
      </c>
      <c r="G388" s="16" t="s">
        <v>17</v>
      </c>
      <c r="H388" s="18">
        <v>25700</v>
      </c>
      <c r="I388" s="19">
        <v>35000</v>
      </c>
      <c r="J388" s="16">
        <v>40</v>
      </c>
      <c r="K388" s="16" t="str">
        <f t="shared" si="25"/>
        <v>Alto</v>
      </c>
      <c r="L388" s="16" t="s">
        <v>14</v>
      </c>
      <c r="M388" s="19">
        <v>1000</v>
      </c>
      <c r="N388" s="16" t="str">
        <f t="shared" si="24"/>
        <v>Aprovado</v>
      </c>
      <c r="O388" s="16" t="str">
        <f t="shared" si="26"/>
        <v>Aprovado</v>
      </c>
      <c r="P388" s="29">
        <f t="shared" si="27"/>
        <v>0</v>
      </c>
    </row>
    <row r="389" spans="1:16" x14ac:dyDescent="0.3">
      <c r="A389" s="20" t="s">
        <v>172</v>
      </c>
      <c r="B389" s="16" t="s">
        <v>489</v>
      </c>
      <c r="C389" s="44">
        <v>12900</v>
      </c>
      <c r="D389" s="20">
        <v>59</v>
      </c>
      <c r="E389" s="17">
        <v>24554</v>
      </c>
      <c r="F389" s="16" t="s">
        <v>133</v>
      </c>
      <c r="G389" s="16" t="s">
        <v>27</v>
      </c>
      <c r="H389" s="18">
        <v>15200</v>
      </c>
      <c r="I389" s="19">
        <v>11000</v>
      </c>
      <c r="J389" s="16">
        <v>27</v>
      </c>
      <c r="K389" s="16" t="str">
        <f t="shared" si="25"/>
        <v>Alto</v>
      </c>
      <c r="L389" s="16" t="s">
        <v>14</v>
      </c>
      <c r="M389" s="19">
        <v>87000</v>
      </c>
      <c r="N389" s="16" t="str">
        <f t="shared" si="24"/>
        <v>Aprovado</v>
      </c>
      <c r="O389" s="16" t="str">
        <f t="shared" si="26"/>
        <v>Aprovado</v>
      </c>
      <c r="P389" s="29">
        <f t="shared" si="27"/>
        <v>0</v>
      </c>
    </row>
    <row r="390" spans="1:16" x14ac:dyDescent="0.3">
      <c r="A390" s="20" t="s">
        <v>172</v>
      </c>
      <c r="B390" s="16" t="s">
        <v>490</v>
      </c>
      <c r="C390" s="44">
        <v>26200</v>
      </c>
      <c r="D390" s="20">
        <v>61</v>
      </c>
      <c r="E390" s="17">
        <v>23834</v>
      </c>
      <c r="F390" s="16" t="s">
        <v>154</v>
      </c>
      <c r="G390" s="16" t="s">
        <v>23</v>
      </c>
      <c r="H390" s="19">
        <v>9100</v>
      </c>
      <c r="I390" s="19">
        <v>49000</v>
      </c>
      <c r="J390" s="16">
        <v>1</v>
      </c>
      <c r="K390" s="16" t="str">
        <f t="shared" si="25"/>
        <v>Baixo</v>
      </c>
      <c r="L390" s="16" t="s">
        <v>14</v>
      </c>
      <c r="M390" s="19">
        <v>48000</v>
      </c>
      <c r="N390" s="16" t="str">
        <f t="shared" si="24"/>
        <v>Aprovado</v>
      </c>
      <c r="O390" s="16" t="str">
        <f t="shared" si="26"/>
        <v>Aprovado</v>
      </c>
      <c r="P390" s="29">
        <f t="shared" si="27"/>
        <v>0</v>
      </c>
    </row>
    <row r="391" spans="1:16" x14ac:dyDescent="0.3">
      <c r="A391" s="20" t="s">
        <v>172</v>
      </c>
      <c r="B391" s="16" t="s">
        <v>490</v>
      </c>
      <c r="C391" s="44">
        <v>8000</v>
      </c>
      <c r="D391" s="20">
        <v>54</v>
      </c>
      <c r="E391" s="17">
        <v>26403</v>
      </c>
      <c r="F391" s="16" t="s">
        <v>154</v>
      </c>
      <c r="G391" s="16" t="s">
        <v>23</v>
      </c>
      <c r="H391" s="18">
        <v>20800</v>
      </c>
      <c r="I391" s="19">
        <v>16000</v>
      </c>
      <c r="J391" s="16">
        <v>32</v>
      </c>
      <c r="K391" s="16" t="str">
        <f t="shared" si="25"/>
        <v>Alto</v>
      </c>
      <c r="L391" s="16" t="s">
        <v>14</v>
      </c>
      <c r="M391" s="19">
        <v>31500</v>
      </c>
      <c r="N391" s="16" t="str">
        <f t="shared" si="24"/>
        <v>Aprovado</v>
      </c>
      <c r="O391" s="16" t="str">
        <f t="shared" si="26"/>
        <v>Aprovado</v>
      </c>
      <c r="P391" s="29">
        <f t="shared" si="27"/>
        <v>0</v>
      </c>
    </row>
    <row r="392" spans="1:16" x14ac:dyDescent="0.3">
      <c r="A392" s="20" t="s">
        <v>172</v>
      </c>
      <c r="B392" s="16" t="s">
        <v>491</v>
      </c>
      <c r="C392" s="44">
        <v>2400</v>
      </c>
      <c r="D392" s="20">
        <v>61</v>
      </c>
      <c r="E392" s="17">
        <v>23667</v>
      </c>
      <c r="F392" s="16" t="s">
        <v>133</v>
      </c>
      <c r="G392" s="16" t="s">
        <v>27</v>
      </c>
      <c r="H392" s="18">
        <v>23000</v>
      </c>
      <c r="I392" s="19">
        <v>44500</v>
      </c>
      <c r="J392" s="16">
        <v>32</v>
      </c>
      <c r="K392" s="16" t="str">
        <f t="shared" si="25"/>
        <v>Alto</v>
      </c>
      <c r="L392" s="16" t="s">
        <v>13</v>
      </c>
      <c r="M392" s="19">
        <v>2000</v>
      </c>
      <c r="N392" s="16" t="str">
        <f t="shared" si="24"/>
        <v>Negado</v>
      </c>
      <c r="O392" s="16" t="str">
        <f t="shared" si="26"/>
        <v>Aprovado</v>
      </c>
      <c r="P392" s="29">
        <f t="shared" si="27"/>
        <v>0</v>
      </c>
    </row>
    <row r="393" spans="1:16" x14ac:dyDescent="0.3">
      <c r="A393" s="20" t="s">
        <v>171</v>
      </c>
      <c r="B393" s="16" t="s">
        <v>492</v>
      </c>
      <c r="C393" s="44">
        <v>26600</v>
      </c>
      <c r="D393" s="20">
        <v>70</v>
      </c>
      <c r="E393" s="17">
        <v>20533</v>
      </c>
      <c r="F393" s="16" t="s">
        <v>148</v>
      </c>
      <c r="G393" s="16" t="s">
        <v>25</v>
      </c>
      <c r="H393" s="18">
        <v>9100</v>
      </c>
      <c r="I393" s="19">
        <v>40500</v>
      </c>
      <c r="J393" s="16">
        <v>35</v>
      </c>
      <c r="K393" s="16" t="str">
        <f t="shared" si="25"/>
        <v>Alto</v>
      </c>
      <c r="L393" s="16" t="s">
        <v>14</v>
      </c>
      <c r="M393" s="19">
        <v>53000</v>
      </c>
      <c r="N393" s="16" t="str">
        <f t="shared" si="24"/>
        <v>Aprovado</v>
      </c>
      <c r="O393" s="16" t="str">
        <f t="shared" si="26"/>
        <v>Aprovado</v>
      </c>
      <c r="P393" s="29">
        <f t="shared" si="27"/>
        <v>4240</v>
      </c>
    </row>
    <row r="394" spans="1:16" x14ac:dyDescent="0.3">
      <c r="A394" s="20" t="s">
        <v>171</v>
      </c>
      <c r="B394" s="16" t="s">
        <v>493</v>
      </c>
      <c r="C394" s="44">
        <v>34400</v>
      </c>
      <c r="D394" s="20">
        <v>64</v>
      </c>
      <c r="E394" s="17">
        <v>22836</v>
      </c>
      <c r="F394" s="16" t="s">
        <v>134</v>
      </c>
      <c r="G394" s="16" t="s">
        <v>15</v>
      </c>
      <c r="H394" s="18">
        <v>24300</v>
      </c>
      <c r="I394" s="19">
        <v>16500</v>
      </c>
      <c r="J394" s="16">
        <v>24</v>
      </c>
      <c r="K394" s="16" t="str">
        <f t="shared" si="25"/>
        <v>Médio</v>
      </c>
      <c r="L394" s="16" t="s">
        <v>13</v>
      </c>
      <c r="M394" s="19">
        <v>57000</v>
      </c>
      <c r="N394" s="16" t="str">
        <f t="shared" si="24"/>
        <v>Aprovado</v>
      </c>
      <c r="O394" s="16" t="str">
        <f t="shared" si="26"/>
        <v>Aprovado</v>
      </c>
      <c r="P394" s="29">
        <f t="shared" si="27"/>
        <v>4560</v>
      </c>
    </row>
    <row r="395" spans="1:16" x14ac:dyDescent="0.3">
      <c r="A395" s="20" t="s">
        <v>171</v>
      </c>
      <c r="B395" s="16" t="s">
        <v>494</v>
      </c>
      <c r="C395" s="44">
        <v>13400</v>
      </c>
      <c r="D395" s="20">
        <v>44</v>
      </c>
      <c r="E395" s="17">
        <v>29892</v>
      </c>
      <c r="F395" s="16" t="s">
        <v>141</v>
      </c>
      <c r="G395" s="16" t="s">
        <v>33</v>
      </c>
      <c r="H395" s="18">
        <v>20600</v>
      </c>
      <c r="I395" s="19">
        <v>8000</v>
      </c>
      <c r="J395" s="16">
        <v>39</v>
      </c>
      <c r="K395" s="16" t="str">
        <f t="shared" si="25"/>
        <v>Alto</v>
      </c>
      <c r="L395" s="16" t="s">
        <v>14</v>
      </c>
      <c r="M395" s="19">
        <v>36000</v>
      </c>
      <c r="N395" s="16" t="str">
        <f t="shared" si="24"/>
        <v>Aprovado</v>
      </c>
      <c r="O395" s="16" t="str">
        <f t="shared" si="26"/>
        <v>Aprovado</v>
      </c>
      <c r="P395" s="29">
        <f t="shared" si="27"/>
        <v>2880</v>
      </c>
    </row>
    <row r="396" spans="1:16" x14ac:dyDescent="0.3">
      <c r="A396" s="20" t="s">
        <v>172</v>
      </c>
      <c r="B396" s="16" t="s">
        <v>495</v>
      </c>
      <c r="C396" s="44">
        <v>25000</v>
      </c>
      <c r="D396" s="20">
        <f ca="1">DATEDIF(E396,TODAY(),"Y")</f>
        <v>22</v>
      </c>
      <c r="E396" s="17">
        <v>38001</v>
      </c>
      <c r="F396" s="16" t="s">
        <v>143</v>
      </c>
      <c r="G396" s="16" t="s">
        <v>17</v>
      </c>
      <c r="H396" s="18">
        <v>2100</v>
      </c>
      <c r="I396" s="19">
        <v>79500</v>
      </c>
      <c r="J396" s="16">
        <v>29</v>
      </c>
      <c r="K396" s="16" t="str">
        <f t="shared" si="25"/>
        <v>Alto</v>
      </c>
      <c r="L396" s="16" t="s">
        <v>13</v>
      </c>
      <c r="M396" s="19">
        <v>64000</v>
      </c>
      <c r="N396" s="16" t="str">
        <f t="shared" si="24"/>
        <v>Negado</v>
      </c>
      <c r="O396" s="16" t="str">
        <f t="shared" si="26"/>
        <v>Negado</v>
      </c>
      <c r="P396" s="29">
        <f t="shared" si="27"/>
        <v>0</v>
      </c>
    </row>
    <row r="397" spans="1:16" x14ac:dyDescent="0.3">
      <c r="A397" s="20" t="s">
        <v>171</v>
      </c>
      <c r="B397" s="16" t="s">
        <v>496</v>
      </c>
      <c r="C397" s="44">
        <v>32000</v>
      </c>
      <c r="D397" s="20">
        <v>68</v>
      </c>
      <c r="E397" s="17">
        <v>21162</v>
      </c>
      <c r="F397" s="16" t="s">
        <v>135</v>
      </c>
      <c r="G397" s="16" t="s">
        <v>17</v>
      </c>
      <c r="H397" s="18">
        <v>11500</v>
      </c>
      <c r="I397" s="19">
        <v>17500</v>
      </c>
      <c r="J397" s="16">
        <v>19</v>
      </c>
      <c r="K397" s="16" t="str">
        <f t="shared" si="25"/>
        <v>Médio</v>
      </c>
      <c r="L397" s="16" t="s">
        <v>14</v>
      </c>
      <c r="M397" s="19">
        <v>26000</v>
      </c>
      <c r="N397" s="16" t="str">
        <f t="shared" si="24"/>
        <v>Aprovado</v>
      </c>
      <c r="O397" s="16" t="str">
        <f t="shared" si="26"/>
        <v>Aprovado</v>
      </c>
      <c r="P397" s="29">
        <f t="shared" si="27"/>
        <v>2080</v>
      </c>
    </row>
    <row r="398" spans="1:16" x14ac:dyDescent="0.3">
      <c r="A398" s="20" t="s">
        <v>171</v>
      </c>
      <c r="B398" s="16" t="s">
        <v>496</v>
      </c>
      <c r="C398" s="44">
        <v>27700</v>
      </c>
      <c r="D398" s="20">
        <v>65</v>
      </c>
      <c r="E398" s="17">
        <v>22436</v>
      </c>
      <c r="F398" s="16" t="s">
        <v>137</v>
      </c>
      <c r="G398" s="16" t="s">
        <v>36</v>
      </c>
      <c r="H398" s="18">
        <v>12700</v>
      </c>
      <c r="I398" s="19">
        <v>60500</v>
      </c>
      <c r="J398" s="16">
        <v>36</v>
      </c>
      <c r="K398" s="16" t="str">
        <f t="shared" si="25"/>
        <v>Alto</v>
      </c>
      <c r="L398" s="16" t="s">
        <v>14</v>
      </c>
      <c r="M398" s="19">
        <v>28000</v>
      </c>
      <c r="N398" s="16" t="str">
        <f t="shared" si="24"/>
        <v>Aprovado</v>
      </c>
      <c r="O398" s="16" t="str">
        <f t="shared" si="26"/>
        <v>Aprovado</v>
      </c>
      <c r="P398" s="29">
        <f t="shared" si="27"/>
        <v>2240</v>
      </c>
    </row>
    <row r="399" spans="1:16" x14ac:dyDescent="0.3">
      <c r="A399" s="20" t="s">
        <v>172</v>
      </c>
      <c r="B399" s="16" t="s">
        <v>497</v>
      </c>
      <c r="C399" s="44">
        <v>0</v>
      </c>
      <c r="D399" s="20">
        <v>57</v>
      </c>
      <c r="E399" s="17">
        <v>25206</v>
      </c>
      <c r="F399" s="16" t="s">
        <v>157</v>
      </c>
      <c r="G399" s="16" t="s">
        <v>16</v>
      </c>
      <c r="H399" s="18">
        <v>3400</v>
      </c>
      <c r="I399" s="19">
        <v>0</v>
      </c>
      <c r="J399" s="16">
        <v>20</v>
      </c>
      <c r="K399" s="16" t="str">
        <f t="shared" si="25"/>
        <v>Médio</v>
      </c>
      <c r="L399" s="16" t="s">
        <v>14</v>
      </c>
      <c r="M399" s="19">
        <v>19500</v>
      </c>
      <c r="N399" s="16" t="str">
        <f t="shared" si="24"/>
        <v>Aprovado</v>
      </c>
      <c r="O399" s="16" t="str">
        <f t="shared" si="26"/>
        <v>Aprovado</v>
      </c>
      <c r="P399" s="29">
        <f t="shared" si="27"/>
        <v>0</v>
      </c>
    </row>
    <row r="400" spans="1:16" x14ac:dyDescent="0.3">
      <c r="A400" s="20" t="s">
        <v>172</v>
      </c>
      <c r="B400" s="16" t="s">
        <v>497</v>
      </c>
      <c r="C400" s="44">
        <v>0</v>
      </c>
      <c r="D400" s="20">
        <v>57</v>
      </c>
      <c r="E400" s="17">
        <v>25206</v>
      </c>
      <c r="F400" s="16" t="s">
        <v>157</v>
      </c>
      <c r="G400" s="16" t="s">
        <v>16</v>
      </c>
      <c r="H400" s="18">
        <v>3400</v>
      </c>
      <c r="I400" s="19">
        <v>23500</v>
      </c>
      <c r="J400" s="16">
        <v>20</v>
      </c>
      <c r="K400" s="16" t="str">
        <f t="shared" si="25"/>
        <v>Médio</v>
      </c>
      <c r="L400" s="16" t="s">
        <v>14</v>
      </c>
      <c r="M400" s="19">
        <v>50500</v>
      </c>
      <c r="N400" s="16" t="str">
        <f t="shared" si="24"/>
        <v>Aprovado</v>
      </c>
      <c r="O400" s="16" t="str">
        <f t="shared" si="26"/>
        <v>Aprovado</v>
      </c>
      <c r="P400" s="29">
        <f t="shared" si="27"/>
        <v>0</v>
      </c>
    </row>
    <row r="401" spans="1:16" x14ac:dyDescent="0.3">
      <c r="A401" s="33" t="s">
        <v>172</v>
      </c>
      <c r="B401" s="34" t="s">
        <v>498</v>
      </c>
      <c r="C401" s="45">
        <v>5900</v>
      </c>
      <c r="D401" s="33">
        <v>42</v>
      </c>
      <c r="E401" s="35">
        <v>30810</v>
      </c>
      <c r="F401" s="34" t="s">
        <v>136</v>
      </c>
      <c r="G401" s="34" t="s">
        <v>28</v>
      </c>
      <c r="H401" s="36">
        <v>18200</v>
      </c>
      <c r="I401" s="37">
        <v>31000</v>
      </c>
      <c r="J401" s="34">
        <v>19</v>
      </c>
      <c r="K401" s="34" t="str">
        <f t="shared" si="25"/>
        <v>Médio</v>
      </c>
      <c r="L401" s="34" t="s">
        <v>14</v>
      </c>
      <c r="M401" s="37">
        <v>63500</v>
      </c>
      <c r="N401" s="34" t="str">
        <f t="shared" si="24"/>
        <v>Aprovado</v>
      </c>
      <c r="O401" s="34" t="str">
        <f t="shared" si="26"/>
        <v>Aprovado</v>
      </c>
      <c r="P401" s="38">
        <f t="shared" si="27"/>
        <v>0</v>
      </c>
    </row>
  </sheetData>
  <dataConsolidate/>
  <conditionalFormatting sqref="A2:A401">
    <cfRule type="containsText" dxfId="3" priority="1" operator="containsText" text="Inativo">
      <formula>NOT(ISERROR(SEARCH("Inativo",A2)))</formula>
    </cfRule>
    <cfRule type="containsText" dxfId="2" priority="2" operator="containsText" text="Ativo">
      <formula>NOT(ISERROR(SEARCH("Ativo",A2)))</formula>
    </cfRule>
  </conditionalFormatting>
  <conditionalFormatting sqref="P2:P401">
    <cfRule type="cellIs" dxfId="1" priority="3" operator="lessThanOrEqual">
      <formula>0</formula>
    </cfRule>
    <cfRule type="cellIs" dxfId="0" priority="4" operator="greaterThan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EA4F3-F0D5-45DD-B007-1D93D37D2EB7}">
  <dimension ref="A1:AA402"/>
  <sheetViews>
    <sheetView workbookViewId="0">
      <selection activeCell="K5" sqref="K5"/>
    </sheetView>
  </sheetViews>
  <sheetFormatPr defaultColWidth="5.44140625" defaultRowHeight="14.4" x14ac:dyDescent="0.3"/>
  <cols>
    <col min="1" max="1" width="8.6640625" bestFit="1" customWidth="1"/>
    <col min="2" max="2" width="4.33203125" customWidth="1"/>
    <col min="3" max="3" width="22.88671875" bestFit="1" customWidth="1"/>
    <col min="4" max="4" width="5.88671875" customWidth="1"/>
    <col min="5" max="5" width="13.88671875" bestFit="1" customWidth="1"/>
    <col min="6" max="6" width="5" customWidth="1"/>
    <col min="7" max="7" width="7.33203125" bestFit="1" customWidth="1"/>
    <col min="9" max="9" width="15.21875" bestFit="1" customWidth="1"/>
    <col min="11" max="11" width="19.33203125" customWidth="1"/>
    <col min="13" max="13" width="21.6640625" bestFit="1" customWidth="1"/>
    <col min="15" max="15" width="12.88671875" bestFit="1" customWidth="1"/>
    <col min="17" max="17" width="14.33203125" bestFit="1" customWidth="1"/>
    <col min="18" max="18" width="4.6640625" customWidth="1"/>
    <col min="19" max="19" width="15.6640625" bestFit="1" customWidth="1"/>
    <col min="20" max="20" width="3.77734375" customWidth="1"/>
    <col min="21" max="21" width="12.5546875" bestFit="1" customWidth="1"/>
    <col min="23" max="23" width="9.6640625" bestFit="1" customWidth="1"/>
    <col min="25" max="25" width="15.6640625" bestFit="1" customWidth="1"/>
    <col min="27" max="27" width="14.109375" bestFit="1" customWidth="1"/>
  </cols>
  <sheetData>
    <row r="1" spans="1:27" x14ac:dyDescent="0.3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  <c r="M1" t="s">
        <v>6</v>
      </c>
      <c r="O1" t="s">
        <v>7</v>
      </c>
      <c r="Q1" t="s">
        <v>8</v>
      </c>
      <c r="S1" t="s">
        <v>11</v>
      </c>
      <c r="U1" t="s">
        <v>9</v>
      </c>
      <c r="W1" t="s">
        <v>10</v>
      </c>
      <c r="Y1" t="s">
        <v>11</v>
      </c>
      <c r="AA1" t="s">
        <v>12</v>
      </c>
    </row>
    <row r="2" spans="1:27" x14ac:dyDescent="0.3">
      <c r="A2" t="s">
        <v>521</v>
      </c>
      <c r="C2" t="s">
        <v>1232</v>
      </c>
      <c r="E2" t="s">
        <v>1231</v>
      </c>
      <c r="G2">
        <v>32</v>
      </c>
      <c r="I2" s="47">
        <v>34347</v>
      </c>
      <c r="J2" s="47"/>
      <c r="K2" t="s">
        <v>526</v>
      </c>
      <c r="M2" t="s">
        <v>525</v>
      </c>
      <c r="O2">
        <v>15600</v>
      </c>
      <c r="Q2">
        <v>0</v>
      </c>
      <c r="S2" t="s">
        <v>13</v>
      </c>
      <c r="U2">
        <v>34</v>
      </c>
      <c r="Y2" t="s">
        <v>13</v>
      </c>
      <c r="AA2">
        <v>16000</v>
      </c>
    </row>
    <row r="3" spans="1:27" x14ac:dyDescent="0.3">
      <c r="A3" t="s">
        <v>528</v>
      </c>
      <c r="C3" t="s">
        <v>1230</v>
      </c>
      <c r="E3">
        <v>36100</v>
      </c>
      <c r="G3">
        <v>24</v>
      </c>
      <c r="I3" s="47">
        <v>37313</v>
      </c>
      <c r="J3" s="47"/>
      <c r="K3" t="s">
        <v>569</v>
      </c>
      <c r="M3" t="s">
        <v>558</v>
      </c>
      <c r="O3" t="s">
        <v>1229</v>
      </c>
      <c r="Q3">
        <v>76500</v>
      </c>
      <c r="S3" t="s">
        <v>13</v>
      </c>
      <c r="U3">
        <v>33</v>
      </c>
      <c r="Y3" t="s">
        <v>13</v>
      </c>
      <c r="AA3">
        <v>26000</v>
      </c>
    </row>
    <row r="4" spans="1:27" x14ac:dyDescent="0.3">
      <c r="A4" t="s">
        <v>521</v>
      </c>
      <c r="C4" t="s">
        <v>1228</v>
      </c>
      <c r="E4" t="s">
        <v>1227</v>
      </c>
      <c r="G4">
        <v>33</v>
      </c>
      <c r="I4">
        <v>34144</v>
      </c>
      <c r="K4" t="s">
        <v>625</v>
      </c>
      <c r="M4" t="s">
        <v>586</v>
      </c>
      <c r="O4" t="s">
        <v>1226</v>
      </c>
      <c r="Q4" t="s">
        <v>130</v>
      </c>
      <c r="S4" t="s">
        <v>562</v>
      </c>
      <c r="U4">
        <v>22</v>
      </c>
      <c r="Y4" t="s">
        <v>562</v>
      </c>
      <c r="AA4">
        <v>51500</v>
      </c>
    </row>
    <row r="5" spans="1:27" x14ac:dyDescent="0.3">
      <c r="A5" t="s">
        <v>521</v>
      </c>
      <c r="C5" t="s">
        <v>1139</v>
      </c>
      <c r="E5" t="s">
        <v>1225</v>
      </c>
      <c r="G5">
        <v>63</v>
      </c>
      <c r="I5">
        <v>23156</v>
      </c>
      <c r="K5" t="s">
        <v>638</v>
      </c>
      <c r="O5" t="s">
        <v>1224</v>
      </c>
      <c r="Q5">
        <v>8500</v>
      </c>
      <c r="S5" t="s">
        <v>562</v>
      </c>
      <c r="U5">
        <v>39</v>
      </c>
      <c r="Y5" t="s">
        <v>562</v>
      </c>
      <c r="AA5">
        <v>36500</v>
      </c>
    </row>
    <row r="6" spans="1:27" x14ac:dyDescent="0.3">
      <c r="A6" t="s">
        <v>521</v>
      </c>
      <c r="C6" t="s">
        <v>1184</v>
      </c>
      <c r="E6" t="s">
        <v>1223</v>
      </c>
      <c r="G6">
        <v>32</v>
      </c>
      <c r="I6">
        <v>34299</v>
      </c>
      <c r="K6" t="s">
        <v>526</v>
      </c>
      <c r="M6" t="s">
        <v>631</v>
      </c>
      <c r="O6" s="48">
        <v>30000</v>
      </c>
      <c r="P6" s="48"/>
      <c r="S6" t="s">
        <v>14</v>
      </c>
      <c r="U6">
        <v>5</v>
      </c>
      <c r="Y6" t="s">
        <v>14</v>
      </c>
      <c r="AA6">
        <v>65000</v>
      </c>
    </row>
    <row r="7" spans="1:27" x14ac:dyDescent="0.3">
      <c r="A7" t="s">
        <v>521</v>
      </c>
      <c r="C7" t="s">
        <v>1222</v>
      </c>
      <c r="E7" t="s">
        <v>1221</v>
      </c>
      <c r="G7">
        <v>48</v>
      </c>
      <c r="I7">
        <v>28647</v>
      </c>
      <c r="K7" t="s">
        <v>573</v>
      </c>
      <c r="O7">
        <v>13200</v>
      </c>
      <c r="Q7" t="s">
        <v>1220</v>
      </c>
      <c r="S7" t="s">
        <v>14</v>
      </c>
      <c r="U7">
        <v>1</v>
      </c>
      <c r="Y7" t="s">
        <v>14</v>
      </c>
      <c r="AA7">
        <v>32500</v>
      </c>
    </row>
    <row r="8" spans="1:27" x14ac:dyDescent="0.3">
      <c r="A8" t="s">
        <v>171</v>
      </c>
      <c r="C8" t="s">
        <v>1154</v>
      </c>
      <c r="E8" t="s">
        <v>1219</v>
      </c>
      <c r="G8">
        <v>28</v>
      </c>
      <c r="I8" s="47">
        <v>35830</v>
      </c>
      <c r="J8" s="47"/>
      <c r="K8" t="s">
        <v>573</v>
      </c>
      <c r="M8" t="s">
        <v>572</v>
      </c>
      <c r="O8" t="s">
        <v>1218</v>
      </c>
      <c r="Q8" s="48">
        <v>19000</v>
      </c>
      <c r="R8" s="48"/>
      <c r="S8" t="s">
        <v>13</v>
      </c>
      <c r="U8">
        <v>4</v>
      </c>
      <c r="Y8" t="s">
        <v>13</v>
      </c>
      <c r="AA8">
        <v>32500</v>
      </c>
    </row>
    <row r="9" spans="1:27" x14ac:dyDescent="0.3">
      <c r="A9" t="s">
        <v>528</v>
      </c>
      <c r="C9" t="s">
        <v>1217</v>
      </c>
      <c r="E9" t="s">
        <v>1216</v>
      </c>
      <c r="G9">
        <v>42</v>
      </c>
      <c r="I9" s="47">
        <v>30810</v>
      </c>
      <c r="J9" s="47"/>
      <c r="K9" t="s">
        <v>564</v>
      </c>
      <c r="M9" t="s">
        <v>770</v>
      </c>
      <c r="O9" t="s">
        <v>1215</v>
      </c>
      <c r="Q9" t="s">
        <v>1214</v>
      </c>
      <c r="S9" t="s">
        <v>14</v>
      </c>
      <c r="U9">
        <v>19</v>
      </c>
      <c r="Y9" t="s">
        <v>14</v>
      </c>
      <c r="AA9">
        <v>63500</v>
      </c>
    </row>
    <row r="10" spans="1:27" x14ac:dyDescent="0.3">
      <c r="A10" t="s">
        <v>521</v>
      </c>
      <c r="C10" t="s">
        <v>1213</v>
      </c>
      <c r="E10" t="s">
        <v>1212</v>
      </c>
      <c r="G10">
        <v>34</v>
      </c>
      <c r="I10" s="47">
        <v>33624</v>
      </c>
      <c r="J10" s="47"/>
      <c r="K10" t="s">
        <v>564</v>
      </c>
      <c r="M10" t="s">
        <v>1022</v>
      </c>
      <c r="O10">
        <v>8000</v>
      </c>
      <c r="Q10" s="46">
        <v>14500</v>
      </c>
      <c r="R10" s="46"/>
      <c r="S10" t="s">
        <v>13</v>
      </c>
      <c r="U10">
        <v>9</v>
      </c>
      <c r="Y10" t="s">
        <v>13</v>
      </c>
      <c r="AA10">
        <v>17500</v>
      </c>
    </row>
    <row r="11" spans="1:27" x14ac:dyDescent="0.3">
      <c r="A11" t="s">
        <v>528</v>
      </c>
      <c r="C11" t="s">
        <v>1211</v>
      </c>
      <c r="E11" t="s">
        <v>1210</v>
      </c>
      <c r="G11">
        <v>61</v>
      </c>
      <c r="I11" s="47">
        <v>23667</v>
      </c>
      <c r="J11" s="47"/>
      <c r="K11" t="s">
        <v>539</v>
      </c>
      <c r="M11" t="s">
        <v>536</v>
      </c>
      <c r="O11" t="s">
        <v>972</v>
      </c>
      <c r="Q11">
        <v>44500</v>
      </c>
      <c r="S11" t="s">
        <v>13</v>
      </c>
      <c r="U11">
        <v>32</v>
      </c>
      <c r="Y11" t="s">
        <v>13</v>
      </c>
      <c r="AA11">
        <v>2000</v>
      </c>
    </row>
    <row r="12" spans="1:27" x14ac:dyDescent="0.3">
      <c r="A12" t="s">
        <v>521</v>
      </c>
      <c r="C12" t="s">
        <v>1209</v>
      </c>
      <c r="E12" t="s">
        <v>1208</v>
      </c>
      <c r="G12">
        <v>33</v>
      </c>
      <c r="I12">
        <v>34147</v>
      </c>
      <c r="K12" t="s">
        <v>539</v>
      </c>
      <c r="M12" t="s">
        <v>536</v>
      </c>
      <c r="O12">
        <v>28700</v>
      </c>
      <c r="Q12">
        <v>12500</v>
      </c>
      <c r="S12" t="s">
        <v>14</v>
      </c>
      <c r="U12">
        <v>41</v>
      </c>
      <c r="Y12" t="s">
        <v>14</v>
      </c>
      <c r="AA12">
        <v>99500</v>
      </c>
    </row>
    <row r="13" spans="1:27" x14ac:dyDescent="0.3">
      <c r="A13" t="s">
        <v>521</v>
      </c>
      <c r="C13" t="s">
        <v>1207</v>
      </c>
      <c r="E13">
        <v>35800</v>
      </c>
      <c r="G13">
        <v>70</v>
      </c>
      <c r="I13">
        <v>20515</v>
      </c>
      <c r="K13" t="s">
        <v>533</v>
      </c>
      <c r="M13" t="s">
        <v>536</v>
      </c>
      <c r="O13" t="s">
        <v>1179</v>
      </c>
      <c r="Q13">
        <v>62000</v>
      </c>
      <c r="S13" t="s">
        <v>13</v>
      </c>
      <c r="U13">
        <v>45</v>
      </c>
      <c r="Y13" t="s">
        <v>13</v>
      </c>
      <c r="AA13">
        <v>35500</v>
      </c>
    </row>
    <row r="14" spans="1:27" x14ac:dyDescent="0.3">
      <c r="A14" t="s">
        <v>521</v>
      </c>
      <c r="C14" t="s">
        <v>1206</v>
      </c>
      <c r="E14" t="s">
        <v>1205</v>
      </c>
      <c r="G14">
        <v>54</v>
      </c>
      <c r="I14" s="47">
        <v>26382</v>
      </c>
      <c r="J14" s="47"/>
      <c r="K14" t="s">
        <v>569</v>
      </c>
      <c r="M14" t="s">
        <v>558</v>
      </c>
      <c r="O14">
        <v>22100</v>
      </c>
      <c r="Q14">
        <v>37000</v>
      </c>
      <c r="S14" t="s">
        <v>14</v>
      </c>
      <c r="U14">
        <v>34</v>
      </c>
      <c r="Y14" t="s">
        <v>14</v>
      </c>
      <c r="AA14">
        <v>87000</v>
      </c>
    </row>
    <row r="15" spans="1:27" x14ac:dyDescent="0.3">
      <c r="A15" t="s">
        <v>521</v>
      </c>
      <c r="C15" t="s">
        <v>884</v>
      </c>
      <c r="E15">
        <v>8600</v>
      </c>
      <c r="I15">
        <v>32260</v>
      </c>
      <c r="K15" t="s">
        <v>564</v>
      </c>
      <c r="M15" t="s">
        <v>563</v>
      </c>
      <c r="O15" t="s">
        <v>1204</v>
      </c>
      <c r="Q15">
        <v>0</v>
      </c>
      <c r="S15" t="s">
        <v>13</v>
      </c>
      <c r="U15">
        <v>31</v>
      </c>
      <c r="Y15" t="s">
        <v>13</v>
      </c>
      <c r="AA15">
        <v>47500</v>
      </c>
    </row>
    <row r="16" spans="1:27" x14ac:dyDescent="0.3">
      <c r="A16" t="s">
        <v>528</v>
      </c>
      <c r="C16" t="s">
        <v>1203</v>
      </c>
      <c r="E16">
        <v>200</v>
      </c>
      <c r="G16">
        <v>55</v>
      </c>
      <c r="I16">
        <v>25892</v>
      </c>
      <c r="K16" t="s">
        <v>569</v>
      </c>
      <c r="M16" t="s">
        <v>15</v>
      </c>
      <c r="O16">
        <v>5300</v>
      </c>
      <c r="Q16" s="46">
        <v>6500</v>
      </c>
      <c r="R16" s="46"/>
      <c r="S16" t="s">
        <v>14</v>
      </c>
      <c r="U16">
        <v>42</v>
      </c>
      <c r="Y16" t="s">
        <v>14</v>
      </c>
      <c r="AA16">
        <v>96000</v>
      </c>
    </row>
    <row r="17" spans="1:27" x14ac:dyDescent="0.3">
      <c r="A17" t="s">
        <v>528</v>
      </c>
      <c r="C17" t="s">
        <v>1202</v>
      </c>
      <c r="E17" t="s">
        <v>1201</v>
      </c>
      <c r="G17">
        <v>47</v>
      </c>
      <c r="I17">
        <v>29064</v>
      </c>
      <c r="K17" t="s">
        <v>595</v>
      </c>
      <c r="M17" t="s">
        <v>597</v>
      </c>
      <c r="O17">
        <v>13300</v>
      </c>
      <c r="Q17">
        <v>1000</v>
      </c>
      <c r="S17" t="s">
        <v>13</v>
      </c>
      <c r="U17">
        <v>24</v>
      </c>
      <c r="Y17" t="s">
        <v>13</v>
      </c>
      <c r="AA17">
        <v>61500</v>
      </c>
    </row>
    <row r="18" spans="1:27" x14ac:dyDescent="0.3">
      <c r="A18" t="s">
        <v>528</v>
      </c>
      <c r="C18" t="s">
        <v>1200</v>
      </c>
      <c r="E18">
        <v>31800</v>
      </c>
      <c r="G18">
        <v>43</v>
      </c>
      <c r="I18">
        <v>30391</v>
      </c>
      <c r="K18" t="s">
        <v>641</v>
      </c>
      <c r="M18" t="s">
        <v>576</v>
      </c>
      <c r="O18">
        <v>7100</v>
      </c>
      <c r="Q18" t="s">
        <v>1097</v>
      </c>
      <c r="S18" t="s">
        <v>14</v>
      </c>
      <c r="U18">
        <v>23</v>
      </c>
      <c r="Y18" t="s">
        <v>14</v>
      </c>
      <c r="AA18">
        <v>67000</v>
      </c>
    </row>
    <row r="19" spans="1:27" x14ac:dyDescent="0.3">
      <c r="A19" t="s">
        <v>521</v>
      </c>
      <c r="C19" t="s">
        <v>1199</v>
      </c>
      <c r="E19" t="s">
        <v>1198</v>
      </c>
      <c r="G19">
        <v>32</v>
      </c>
      <c r="I19" s="47">
        <v>34457</v>
      </c>
      <c r="J19" s="47"/>
      <c r="K19" t="s">
        <v>595</v>
      </c>
      <c r="M19" t="s">
        <v>16</v>
      </c>
      <c r="O19" s="46">
        <v>21300</v>
      </c>
      <c r="P19" s="46"/>
      <c r="Q19" s="48">
        <v>48000</v>
      </c>
      <c r="R19" s="48"/>
      <c r="S19" t="s">
        <v>14</v>
      </c>
      <c r="U19">
        <v>11</v>
      </c>
      <c r="Y19" t="s">
        <v>14</v>
      </c>
      <c r="AA19">
        <v>35000</v>
      </c>
    </row>
    <row r="20" spans="1:27" x14ac:dyDescent="0.3">
      <c r="A20" t="s">
        <v>521</v>
      </c>
      <c r="C20" t="s">
        <v>620</v>
      </c>
      <c r="E20">
        <v>22300</v>
      </c>
      <c r="G20">
        <v>25</v>
      </c>
      <c r="I20" s="47">
        <v>36831</v>
      </c>
      <c r="J20" s="47"/>
      <c r="K20" t="s">
        <v>619</v>
      </c>
      <c r="M20" t="s">
        <v>550</v>
      </c>
      <c r="O20" s="46">
        <v>9400</v>
      </c>
      <c r="P20" s="46"/>
      <c r="Q20">
        <v>51500</v>
      </c>
      <c r="S20" t="s">
        <v>14</v>
      </c>
      <c r="U20">
        <v>14</v>
      </c>
      <c r="Y20" t="s">
        <v>14</v>
      </c>
      <c r="AA20">
        <v>29500</v>
      </c>
    </row>
    <row r="21" spans="1:27" x14ac:dyDescent="0.3">
      <c r="A21" t="s">
        <v>521</v>
      </c>
      <c r="C21" t="s">
        <v>1197</v>
      </c>
      <c r="E21" t="s">
        <v>1196</v>
      </c>
      <c r="G21">
        <v>23</v>
      </c>
      <c r="I21">
        <v>37627</v>
      </c>
      <c r="K21" t="s">
        <v>595</v>
      </c>
      <c r="M21" t="s">
        <v>16</v>
      </c>
      <c r="Q21">
        <v>69000</v>
      </c>
      <c r="S21" t="s">
        <v>14</v>
      </c>
      <c r="U21">
        <v>20</v>
      </c>
      <c r="Y21" t="s">
        <v>14</v>
      </c>
      <c r="AA21">
        <v>69000</v>
      </c>
    </row>
    <row r="22" spans="1:27" x14ac:dyDescent="0.3">
      <c r="A22" t="s">
        <v>528</v>
      </c>
      <c r="C22" t="s">
        <v>1195</v>
      </c>
      <c r="E22" t="s">
        <v>1194</v>
      </c>
      <c r="G22">
        <v>53</v>
      </c>
      <c r="I22" s="47">
        <v>26629</v>
      </c>
      <c r="J22" s="47"/>
      <c r="K22" t="s">
        <v>567</v>
      </c>
      <c r="M22" t="s">
        <v>17</v>
      </c>
      <c r="O22" s="46">
        <v>16500</v>
      </c>
      <c r="P22" s="46"/>
      <c r="Q22" s="48">
        <v>4000</v>
      </c>
      <c r="R22" s="48"/>
      <c r="S22" t="s">
        <v>14</v>
      </c>
      <c r="U22">
        <v>14</v>
      </c>
      <c r="Y22" t="s">
        <v>14</v>
      </c>
      <c r="AA22">
        <v>36000</v>
      </c>
    </row>
    <row r="23" spans="1:27" x14ac:dyDescent="0.3">
      <c r="A23" t="s">
        <v>521</v>
      </c>
      <c r="C23" t="s">
        <v>1193</v>
      </c>
      <c r="E23" t="s">
        <v>1192</v>
      </c>
      <c r="I23">
        <v>21378</v>
      </c>
      <c r="K23" t="s">
        <v>539</v>
      </c>
      <c r="O23">
        <v>14300</v>
      </c>
      <c r="Q23">
        <v>32500</v>
      </c>
      <c r="S23" t="s">
        <v>13</v>
      </c>
      <c r="U23">
        <v>15</v>
      </c>
      <c r="Y23" t="s">
        <v>13</v>
      </c>
      <c r="AA23">
        <v>8000</v>
      </c>
    </row>
    <row r="24" spans="1:27" x14ac:dyDescent="0.3">
      <c r="A24" t="s">
        <v>528</v>
      </c>
      <c r="C24" t="s">
        <v>1191</v>
      </c>
      <c r="E24" t="s">
        <v>1190</v>
      </c>
      <c r="G24">
        <v>33</v>
      </c>
      <c r="I24" s="47">
        <v>34082</v>
      </c>
      <c r="J24" s="47"/>
      <c r="K24" t="s">
        <v>539</v>
      </c>
      <c r="M24" t="s">
        <v>536</v>
      </c>
      <c r="O24">
        <v>23600</v>
      </c>
      <c r="Q24" s="46">
        <v>75500</v>
      </c>
      <c r="R24" s="46"/>
      <c r="S24" t="s">
        <v>14</v>
      </c>
      <c r="U24">
        <v>16</v>
      </c>
      <c r="Y24" t="s">
        <v>14</v>
      </c>
      <c r="AA24">
        <v>88000</v>
      </c>
    </row>
    <row r="25" spans="1:27" x14ac:dyDescent="0.3">
      <c r="A25" t="s">
        <v>521</v>
      </c>
      <c r="C25" t="s">
        <v>1189</v>
      </c>
      <c r="E25" t="s">
        <v>1188</v>
      </c>
      <c r="G25">
        <v>68</v>
      </c>
      <c r="I25">
        <v>21145</v>
      </c>
      <c r="K25" t="s">
        <v>530</v>
      </c>
      <c r="M25" t="s">
        <v>576</v>
      </c>
      <c r="O25">
        <v>29000</v>
      </c>
      <c r="Q25">
        <v>67500</v>
      </c>
      <c r="S25" t="s">
        <v>14</v>
      </c>
      <c r="U25">
        <v>25</v>
      </c>
      <c r="Y25" t="s">
        <v>14</v>
      </c>
      <c r="AA25">
        <v>18000</v>
      </c>
    </row>
    <row r="26" spans="1:27" x14ac:dyDescent="0.3">
      <c r="A26" t="s">
        <v>528</v>
      </c>
      <c r="C26" t="s">
        <v>775</v>
      </c>
      <c r="E26" t="s">
        <v>1187</v>
      </c>
      <c r="G26">
        <v>62</v>
      </c>
      <c r="I26" s="47">
        <v>23259</v>
      </c>
      <c r="J26" s="47"/>
      <c r="K26" t="s">
        <v>625</v>
      </c>
      <c r="M26" t="s">
        <v>18</v>
      </c>
      <c r="Q26">
        <v>0</v>
      </c>
      <c r="S26" t="s">
        <v>13</v>
      </c>
      <c r="U26" t="s">
        <v>880</v>
      </c>
      <c r="Y26" t="s">
        <v>13</v>
      </c>
      <c r="AA26">
        <v>12000</v>
      </c>
    </row>
    <row r="27" spans="1:27" x14ac:dyDescent="0.3">
      <c r="A27" t="s">
        <v>521</v>
      </c>
      <c r="C27" t="s">
        <v>1186</v>
      </c>
      <c r="E27" t="s">
        <v>1185</v>
      </c>
      <c r="G27">
        <v>58</v>
      </c>
      <c r="I27">
        <v>24911</v>
      </c>
      <c r="K27" t="s">
        <v>543</v>
      </c>
      <c r="M27" t="s">
        <v>597</v>
      </c>
      <c r="O27" s="48">
        <v>25400</v>
      </c>
      <c r="P27" s="48"/>
      <c r="Q27">
        <v>70500</v>
      </c>
      <c r="S27" t="s">
        <v>13</v>
      </c>
      <c r="U27">
        <v>11</v>
      </c>
      <c r="Y27" t="s">
        <v>13</v>
      </c>
      <c r="AA27">
        <v>47000</v>
      </c>
    </row>
    <row r="28" spans="1:27" x14ac:dyDescent="0.3">
      <c r="A28" t="s">
        <v>521</v>
      </c>
      <c r="C28" t="s">
        <v>1184</v>
      </c>
      <c r="E28">
        <v>34300</v>
      </c>
      <c r="G28">
        <v>48</v>
      </c>
      <c r="I28" s="47">
        <v>28408</v>
      </c>
      <c r="J28" s="47"/>
      <c r="K28" t="s">
        <v>577</v>
      </c>
      <c r="O28" s="46">
        <v>13300</v>
      </c>
      <c r="P28" s="46"/>
      <c r="Q28">
        <v>42000</v>
      </c>
      <c r="S28" t="s">
        <v>13</v>
      </c>
      <c r="U28">
        <v>27</v>
      </c>
      <c r="Y28" t="s">
        <v>13</v>
      </c>
      <c r="AA28">
        <v>40000</v>
      </c>
    </row>
    <row r="29" spans="1:27" x14ac:dyDescent="0.3">
      <c r="A29" t="s">
        <v>521</v>
      </c>
      <c r="C29" t="s">
        <v>1183</v>
      </c>
      <c r="E29" t="s">
        <v>1182</v>
      </c>
      <c r="G29">
        <v>29</v>
      </c>
      <c r="I29">
        <v>35323</v>
      </c>
      <c r="K29" t="s">
        <v>518</v>
      </c>
      <c r="M29" t="s">
        <v>550</v>
      </c>
      <c r="O29">
        <v>21200</v>
      </c>
      <c r="Q29">
        <v>75000</v>
      </c>
      <c r="S29" t="s">
        <v>14</v>
      </c>
      <c r="U29">
        <v>6</v>
      </c>
      <c r="Y29" t="s">
        <v>14</v>
      </c>
      <c r="AA29">
        <v>63500</v>
      </c>
    </row>
    <row r="30" spans="1:27" x14ac:dyDescent="0.3">
      <c r="A30" t="s">
        <v>581</v>
      </c>
      <c r="C30" t="s">
        <v>1181</v>
      </c>
      <c r="E30" t="s">
        <v>1180</v>
      </c>
      <c r="G30">
        <v>38</v>
      </c>
      <c r="I30">
        <v>32166</v>
      </c>
      <c r="K30" t="s">
        <v>641</v>
      </c>
      <c r="M30" t="s">
        <v>566</v>
      </c>
      <c r="O30" t="s">
        <v>1179</v>
      </c>
      <c r="Q30">
        <v>39000</v>
      </c>
      <c r="S30" t="s">
        <v>14</v>
      </c>
      <c r="U30">
        <v>25</v>
      </c>
      <c r="Y30" t="s">
        <v>14</v>
      </c>
      <c r="AA30">
        <v>88500</v>
      </c>
    </row>
    <row r="31" spans="1:27" x14ac:dyDescent="0.3">
      <c r="A31" t="s">
        <v>528</v>
      </c>
      <c r="C31" t="s">
        <v>1178</v>
      </c>
      <c r="E31" t="s">
        <v>1177</v>
      </c>
      <c r="G31">
        <v>68</v>
      </c>
      <c r="I31">
        <v>21293</v>
      </c>
      <c r="K31" t="s">
        <v>564</v>
      </c>
      <c r="M31" t="s">
        <v>563</v>
      </c>
      <c r="O31">
        <v>3800</v>
      </c>
      <c r="Q31">
        <v>70000</v>
      </c>
      <c r="S31" t="s">
        <v>13</v>
      </c>
      <c r="U31">
        <v>34</v>
      </c>
      <c r="Y31" t="s">
        <v>13</v>
      </c>
      <c r="AA31">
        <v>7500</v>
      </c>
    </row>
    <row r="32" spans="1:27" x14ac:dyDescent="0.3">
      <c r="A32" t="s">
        <v>521</v>
      </c>
      <c r="C32" t="s">
        <v>1176</v>
      </c>
      <c r="E32" t="s">
        <v>1175</v>
      </c>
      <c r="G32">
        <v>19</v>
      </c>
      <c r="I32" s="47">
        <v>39220</v>
      </c>
      <c r="J32" s="47"/>
      <c r="K32" t="s">
        <v>619</v>
      </c>
      <c r="M32" t="s">
        <v>550</v>
      </c>
      <c r="O32">
        <v>18000</v>
      </c>
      <c r="Q32">
        <v>50500</v>
      </c>
      <c r="S32" t="s">
        <v>585</v>
      </c>
      <c r="U32">
        <v>11</v>
      </c>
      <c r="Y32" t="s">
        <v>585</v>
      </c>
      <c r="AA32">
        <v>26000</v>
      </c>
    </row>
    <row r="33" spans="1:27" x14ac:dyDescent="0.3">
      <c r="A33" t="s">
        <v>521</v>
      </c>
      <c r="C33" t="s">
        <v>1174</v>
      </c>
      <c r="E33">
        <v>15400</v>
      </c>
      <c r="G33">
        <v>42</v>
      </c>
      <c r="I33">
        <v>30642</v>
      </c>
      <c r="K33" t="s">
        <v>556</v>
      </c>
      <c r="M33" t="s">
        <v>556</v>
      </c>
      <c r="O33" t="s">
        <v>535</v>
      </c>
      <c r="Q33">
        <v>19500</v>
      </c>
      <c r="S33" t="s">
        <v>14</v>
      </c>
      <c r="U33">
        <v>42</v>
      </c>
      <c r="Y33" t="s">
        <v>14</v>
      </c>
      <c r="AA33">
        <v>89500</v>
      </c>
    </row>
    <row r="34" spans="1:27" x14ac:dyDescent="0.3">
      <c r="A34" t="s">
        <v>521</v>
      </c>
      <c r="C34" t="s">
        <v>1173</v>
      </c>
      <c r="E34" t="s">
        <v>1172</v>
      </c>
      <c r="G34">
        <v>27</v>
      </c>
      <c r="I34">
        <v>36319</v>
      </c>
      <c r="K34" t="s">
        <v>569</v>
      </c>
      <c r="M34" t="s">
        <v>621</v>
      </c>
      <c r="O34">
        <v>28800</v>
      </c>
      <c r="Q34" s="46">
        <v>78500</v>
      </c>
      <c r="R34" s="46"/>
      <c r="S34" t="s">
        <v>14</v>
      </c>
      <c r="U34">
        <v>2</v>
      </c>
      <c r="Y34" t="s">
        <v>14</v>
      </c>
      <c r="AA34">
        <v>53000</v>
      </c>
    </row>
    <row r="35" spans="1:27" x14ac:dyDescent="0.3">
      <c r="A35" t="s">
        <v>521</v>
      </c>
      <c r="C35" t="s">
        <v>1171</v>
      </c>
      <c r="E35" t="s">
        <v>1170</v>
      </c>
      <c r="G35">
        <v>42</v>
      </c>
      <c r="I35">
        <v>30878</v>
      </c>
      <c r="K35" t="s">
        <v>564</v>
      </c>
      <c r="M35" t="s">
        <v>563</v>
      </c>
      <c r="O35">
        <v>17500</v>
      </c>
      <c r="Q35">
        <v>3500</v>
      </c>
      <c r="S35" t="s">
        <v>547</v>
      </c>
      <c r="U35">
        <v>25</v>
      </c>
      <c r="Y35" t="s">
        <v>547</v>
      </c>
      <c r="AA35">
        <v>35000</v>
      </c>
    </row>
    <row r="36" spans="1:27" x14ac:dyDescent="0.3">
      <c r="A36" t="s">
        <v>521</v>
      </c>
      <c r="C36" t="s">
        <v>19</v>
      </c>
      <c r="E36" t="s">
        <v>1169</v>
      </c>
      <c r="G36">
        <v>44</v>
      </c>
      <c r="I36">
        <v>29975</v>
      </c>
      <c r="K36" t="s">
        <v>573</v>
      </c>
      <c r="M36" t="s">
        <v>612</v>
      </c>
      <c r="O36">
        <v>5300</v>
      </c>
      <c r="Q36">
        <v>6000</v>
      </c>
      <c r="S36" t="s">
        <v>13</v>
      </c>
      <c r="U36">
        <v>1</v>
      </c>
      <c r="Y36" t="s">
        <v>13</v>
      </c>
      <c r="AA36">
        <v>4500</v>
      </c>
    </row>
    <row r="37" spans="1:27" x14ac:dyDescent="0.3">
      <c r="A37" t="s">
        <v>521</v>
      </c>
      <c r="C37" t="s">
        <v>1168</v>
      </c>
      <c r="E37" t="s">
        <v>1167</v>
      </c>
      <c r="G37">
        <v>40</v>
      </c>
      <c r="I37" s="47">
        <v>31539</v>
      </c>
      <c r="J37" s="47"/>
      <c r="K37" t="s">
        <v>530</v>
      </c>
      <c r="M37" t="s">
        <v>576</v>
      </c>
      <c r="O37">
        <v>9900</v>
      </c>
      <c r="Q37">
        <v>3500</v>
      </c>
      <c r="S37" t="s">
        <v>14</v>
      </c>
      <c r="U37">
        <v>1</v>
      </c>
      <c r="Y37" t="s">
        <v>14</v>
      </c>
      <c r="AA37">
        <v>23500</v>
      </c>
    </row>
    <row r="38" spans="1:27" x14ac:dyDescent="0.3">
      <c r="A38" t="s">
        <v>521</v>
      </c>
      <c r="C38" t="s">
        <v>1166</v>
      </c>
      <c r="E38" t="s">
        <v>1165</v>
      </c>
      <c r="G38">
        <v>65</v>
      </c>
      <c r="I38" s="47">
        <v>22236</v>
      </c>
      <c r="J38" s="47"/>
      <c r="K38" t="s">
        <v>564</v>
      </c>
      <c r="M38" t="s">
        <v>770</v>
      </c>
      <c r="O38" t="s">
        <v>1164</v>
      </c>
      <c r="Q38">
        <v>28000</v>
      </c>
      <c r="S38" t="s">
        <v>14</v>
      </c>
      <c r="U38">
        <v>34</v>
      </c>
      <c r="Y38" t="s">
        <v>14</v>
      </c>
      <c r="AA38">
        <v>74000</v>
      </c>
    </row>
    <row r="39" spans="1:27" x14ac:dyDescent="0.3">
      <c r="C39" t="s">
        <v>20</v>
      </c>
      <c r="E39" t="s">
        <v>1163</v>
      </c>
      <c r="G39">
        <v>63</v>
      </c>
      <c r="I39">
        <v>22974</v>
      </c>
      <c r="K39" t="s">
        <v>556</v>
      </c>
      <c r="M39" t="s">
        <v>21</v>
      </c>
      <c r="O39" s="48">
        <v>14700</v>
      </c>
      <c r="P39" s="48"/>
      <c r="Q39">
        <v>0</v>
      </c>
      <c r="S39" t="s">
        <v>585</v>
      </c>
      <c r="U39">
        <v>40</v>
      </c>
      <c r="Y39" t="s">
        <v>585</v>
      </c>
      <c r="AA39">
        <v>83500</v>
      </c>
    </row>
    <row r="40" spans="1:27" x14ac:dyDescent="0.3">
      <c r="A40" t="s">
        <v>521</v>
      </c>
      <c r="C40" t="s">
        <v>22</v>
      </c>
      <c r="E40" t="s">
        <v>1162</v>
      </c>
      <c r="G40">
        <v>22</v>
      </c>
      <c r="K40" t="s">
        <v>539</v>
      </c>
      <c r="M40" t="s">
        <v>536</v>
      </c>
      <c r="O40">
        <v>14400</v>
      </c>
      <c r="Q40">
        <v>0</v>
      </c>
      <c r="S40" t="s">
        <v>14</v>
      </c>
      <c r="U40" t="s">
        <v>609</v>
      </c>
      <c r="Y40" t="s">
        <v>14</v>
      </c>
      <c r="AA40">
        <v>33500</v>
      </c>
    </row>
    <row r="41" spans="1:27" x14ac:dyDescent="0.3">
      <c r="A41" t="s">
        <v>171</v>
      </c>
      <c r="C41" t="s">
        <v>1161</v>
      </c>
      <c r="E41" t="s">
        <v>1160</v>
      </c>
      <c r="G41">
        <v>39</v>
      </c>
      <c r="I41">
        <v>31879</v>
      </c>
      <c r="K41" t="s">
        <v>619</v>
      </c>
      <c r="M41" t="s">
        <v>550</v>
      </c>
      <c r="O41" t="s">
        <v>1159</v>
      </c>
      <c r="Q41">
        <v>0</v>
      </c>
      <c r="S41" t="s">
        <v>14</v>
      </c>
      <c r="U41">
        <v>39</v>
      </c>
      <c r="Y41" t="s">
        <v>14</v>
      </c>
      <c r="AA41">
        <v>75000</v>
      </c>
    </row>
    <row r="42" spans="1:27" x14ac:dyDescent="0.3">
      <c r="A42" t="s">
        <v>521</v>
      </c>
      <c r="C42" t="s">
        <v>1158</v>
      </c>
      <c r="E42" t="s">
        <v>1157</v>
      </c>
      <c r="G42">
        <v>63</v>
      </c>
      <c r="I42">
        <v>23231</v>
      </c>
      <c r="K42" t="s">
        <v>577</v>
      </c>
      <c r="M42" t="s">
        <v>576</v>
      </c>
      <c r="O42">
        <v>16800</v>
      </c>
      <c r="Q42">
        <v>0</v>
      </c>
      <c r="U42">
        <v>32</v>
      </c>
      <c r="AA42">
        <v>61500</v>
      </c>
    </row>
    <row r="43" spans="1:27" x14ac:dyDescent="0.3">
      <c r="A43" t="s">
        <v>521</v>
      </c>
      <c r="C43" t="s">
        <v>1156</v>
      </c>
      <c r="E43" t="s">
        <v>1155</v>
      </c>
      <c r="G43">
        <v>54</v>
      </c>
      <c r="I43" s="47">
        <v>26213</v>
      </c>
      <c r="J43" s="47"/>
      <c r="K43" t="s">
        <v>619</v>
      </c>
      <c r="M43" t="s">
        <v>23</v>
      </c>
      <c r="O43">
        <v>29700</v>
      </c>
      <c r="Q43">
        <v>34000</v>
      </c>
      <c r="S43" t="s">
        <v>14</v>
      </c>
      <c r="U43">
        <v>35</v>
      </c>
      <c r="Y43" t="s">
        <v>14</v>
      </c>
      <c r="AA43">
        <v>35000</v>
      </c>
    </row>
    <row r="44" spans="1:27" x14ac:dyDescent="0.3">
      <c r="A44" t="s">
        <v>521</v>
      </c>
      <c r="C44" t="s">
        <v>1154</v>
      </c>
      <c r="E44" t="s">
        <v>1153</v>
      </c>
      <c r="G44">
        <v>29</v>
      </c>
      <c r="I44">
        <v>35472</v>
      </c>
      <c r="K44" t="s">
        <v>1039</v>
      </c>
      <c r="O44">
        <v>11900</v>
      </c>
      <c r="Q44">
        <v>65000</v>
      </c>
      <c r="S44" t="s">
        <v>13</v>
      </c>
      <c r="U44">
        <v>29</v>
      </c>
      <c r="Y44" t="s">
        <v>13</v>
      </c>
      <c r="AA44">
        <v>12000</v>
      </c>
    </row>
    <row r="45" spans="1:27" x14ac:dyDescent="0.3">
      <c r="A45" t="s">
        <v>521</v>
      </c>
      <c r="C45" t="s">
        <v>936</v>
      </c>
      <c r="E45">
        <v>16500</v>
      </c>
      <c r="G45">
        <v>37</v>
      </c>
      <c r="I45">
        <v>32513</v>
      </c>
      <c r="K45" t="s">
        <v>522</v>
      </c>
      <c r="M45" t="s">
        <v>517</v>
      </c>
      <c r="O45" s="48">
        <v>2600</v>
      </c>
      <c r="P45" s="48"/>
      <c r="Q45" t="s">
        <v>130</v>
      </c>
      <c r="S45" t="s">
        <v>14</v>
      </c>
      <c r="U45">
        <v>5</v>
      </c>
      <c r="Y45" t="s">
        <v>14</v>
      </c>
      <c r="AA45">
        <v>16500</v>
      </c>
    </row>
    <row r="46" spans="1:27" x14ac:dyDescent="0.3">
      <c r="A46" t="s">
        <v>521</v>
      </c>
      <c r="C46" t="s">
        <v>1152</v>
      </c>
      <c r="E46">
        <v>15100</v>
      </c>
      <c r="G46">
        <v>25</v>
      </c>
      <c r="I46" s="47">
        <v>37125</v>
      </c>
      <c r="J46" s="47"/>
      <c r="K46" t="s">
        <v>556</v>
      </c>
      <c r="M46" t="s">
        <v>556</v>
      </c>
      <c r="O46">
        <v>2500</v>
      </c>
      <c r="Q46">
        <v>72500</v>
      </c>
      <c r="S46" t="s">
        <v>14</v>
      </c>
      <c r="U46">
        <v>32</v>
      </c>
      <c r="Y46" t="s">
        <v>14</v>
      </c>
      <c r="AA46">
        <v>97000</v>
      </c>
    </row>
    <row r="47" spans="1:27" x14ac:dyDescent="0.3">
      <c r="A47" t="s">
        <v>521</v>
      </c>
      <c r="C47" t="s">
        <v>1151</v>
      </c>
      <c r="E47" t="s">
        <v>1150</v>
      </c>
      <c r="G47">
        <v>21</v>
      </c>
      <c r="I47">
        <v>38323</v>
      </c>
      <c r="K47" t="s">
        <v>595</v>
      </c>
      <c r="M47" t="s">
        <v>597</v>
      </c>
      <c r="O47" t="s">
        <v>1149</v>
      </c>
      <c r="Q47">
        <v>0</v>
      </c>
      <c r="S47" t="s">
        <v>14</v>
      </c>
      <c r="U47">
        <v>25</v>
      </c>
      <c r="Y47" t="s">
        <v>14</v>
      </c>
      <c r="AA47">
        <v>50000</v>
      </c>
    </row>
    <row r="48" spans="1:27" x14ac:dyDescent="0.3">
      <c r="A48" t="s">
        <v>521</v>
      </c>
      <c r="C48" t="s">
        <v>24</v>
      </c>
      <c r="E48" t="s">
        <v>1148</v>
      </c>
      <c r="G48">
        <v>28</v>
      </c>
      <c r="I48" s="47">
        <v>35887</v>
      </c>
      <c r="J48" s="47"/>
      <c r="K48" t="s">
        <v>587</v>
      </c>
      <c r="M48" t="s">
        <v>586</v>
      </c>
      <c r="O48" t="s">
        <v>1147</v>
      </c>
      <c r="Q48">
        <v>51000</v>
      </c>
      <c r="S48" t="s">
        <v>547</v>
      </c>
      <c r="U48">
        <v>12</v>
      </c>
      <c r="Y48" t="s">
        <v>547</v>
      </c>
      <c r="AA48">
        <v>72500</v>
      </c>
    </row>
    <row r="49" spans="1:27" x14ac:dyDescent="0.3">
      <c r="A49" t="s">
        <v>521</v>
      </c>
      <c r="C49" t="s">
        <v>1146</v>
      </c>
      <c r="E49">
        <v>10800</v>
      </c>
      <c r="G49">
        <v>39</v>
      </c>
      <c r="I49" s="47">
        <v>31766</v>
      </c>
      <c r="J49" s="47"/>
      <c r="K49" t="s">
        <v>619</v>
      </c>
      <c r="M49" t="s">
        <v>517</v>
      </c>
      <c r="O49">
        <v>24700</v>
      </c>
      <c r="Q49" t="s">
        <v>1145</v>
      </c>
      <c r="S49" t="s">
        <v>14</v>
      </c>
      <c r="U49">
        <v>43</v>
      </c>
      <c r="Y49" t="s">
        <v>14</v>
      </c>
      <c r="AA49">
        <v>57000</v>
      </c>
    </row>
    <row r="50" spans="1:27" x14ac:dyDescent="0.3">
      <c r="A50" t="s">
        <v>521</v>
      </c>
      <c r="C50" t="s">
        <v>1144</v>
      </c>
      <c r="E50">
        <v>15000</v>
      </c>
      <c r="G50">
        <v>73</v>
      </c>
      <c r="I50">
        <v>19588</v>
      </c>
      <c r="K50" t="s">
        <v>530</v>
      </c>
      <c r="M50" t="s">
        <v>576</v>
      </c>
      <c r="O50" s="46">
        <v>28600</v>
      </c>
      <c r="P50" s="46"/>
      <c r="Q50">
        <v>40500</v>
      </c>
      <c r="S50" t="s">
        <v>14</v>
      </c>
      <c r="U50">
        <v>20</v>
      </c>
      <c r="Y50" t="s">
        <v>14</v>
      </c>
      <c r="AA50">
        <v>2500</v>
      </c>
    </row>
    <row r="51" spans="1:27" x14ac:dyDescent="0.3">
      <c r="A51" t="s">
        <v>521</v>
      </c>
      <c r="C51" t="s">
        <v>1143</v>
      </c>
      <c r="E51" t="s">
        <v>1142</v>
      </c>
      <c r="G51">
        <v>42</v>
      </c>
      <c r="I51" s="47">
        <v>30662</v>
      </c>
      <c r="J51" s="47"/>
      <c r="K51" t="s">
        <v>641</v>
      </c>
      <c r="M51" t="s">
        <v>17</v>
      </c>
      <c r="O51">
        <v>20400</v>
      </c>
      <c r="Q51">
        <v>0</v>
      </c>
      <c r="S51" t="s">
        <v>547</v>
      </c>
      <c r="U51">
        <v>0</v>
      </c>
      <c r="Y51" t="s">
        <v>547</v>
      </c>
      <c r="AA51">
        <v>81000</v>
      </c>
    </row>
    <row r="52" spans="1:27" x14ac:dyDescent="0.3">
      <c r="A52" t="s">
        <v>521</v>
      </c>
      <c r="C52" t="s">
        <v>1141</v>
      </c>
      <c r="E52" t="s">
        <v>1140</v>
      </c>
      <c r="G52">
        <v>48</v>
      </c>
      <c r="I52" s="47">
        <v>28430</v>
      </c>
      <c r="J52" s="47"/>
      <c r="K52" t="s">
        <v>564</v>
      </c>
      <c r="M52" t="s">
        <v>770</v>
      </c>
      <c r="O52" t="s">
        <v>849</v>
      </c>
      <c r="Q52">
        <v>0</v>
      </c>
      <c r="S52" t="s">
        <v>14</v>
      </c>
      <c r="U52">
        <v>3</v>
      </c>
      <c r="Y52" t="s">
        <v>14</v>
      </c>
      <c r="AA52">
        <v>48500</v>
      </c>
    </row>
    <row r="53" spans="1:27" x14ac:dyDescent="0.3">
      <c r="A53" t="s">
        <v>528</v>
      </c>
      <c r="C53" t="s">
        <v>1139</v>
      </c>
      <c r="E53" t="s">
        <v>1138</v>
      </c>
      <c r="G53">
        <v>39</v>
      </c>
      <c r="I53" s="47">
        <v>31693</v>
      </c>
      <c r="J53" s="47"/>
      <c r="K53" t="s">
        <v>573</v>
      </c>
      <c r="M53" t="s">
        <v>572</v>
      </c>
      <c r="O53">
        <v>22200</v>
      </c>
      <c r="Q53">
        <v>0</v>
      </c>
      <c r="S53" t="s">
        <v>13</v>
      </c>
      <c r="U53">
        <v>3</v>
      </c>
      <c r="Y53" t="s">
        <v>13</v>
      </c>
      <c r="AA53">
        <v>7000</v>
      </c>
    </row>
    <row r="54" spans="1:27" x14ac:dyDescent="0.3">
      <c r="A54" t="s">
        <v>521</v>
      </c>
      <c r="C54" t="s">
        <v>1137</v>
      </c>
      <c r="E54" t="s">
        <v>1136</v>
      </c>
      <c r="G54">
        <v>56</v>
      </c>
      <c r="I54" s="47">
        <v>25525</v>
      </c>
      <c r="J54" s="47"/>
      <c r="K54" t="s">
        <v>556</v>
      </c>
      <c r="M54" t="s">
        <v>556</v>
      </c>
      <c r="O54" t="s">
        <v>1135</v>
      </c>
      <c r="Q54">
        <v>63000</v>
      </c>
      <c r="S54" t="s">
        <v>14</v>
      </c>
      <c r="U54">
        <v>0</v>
      </c>
      <c r="Y54" t="s">
        <v>14</v>
      </c>
      <c r="AA54">
        <v>56000</v>
      </c>
    </row>
    <row r="55" spans="1:27" x14ac:dyDescent="0.3">
      <c r="A55" t="s">
        <v>521</v>
      </c>
      <c r="C55" t="s">
        <v>1134</v>
      </c>
      <c r="E55">
        <v>14200</v>
      </c>
      <c r="G55">
        <v>48</v>
      </c>
      <c r="I55" s="47">
        <v>28681</v>
      </c>
      <c r="J55" s="47"/>
      <c r="K55" t="s">
        <v>1133</v>
      </c>
      <c r="O55">
        <v>15800</v>
      </c>
      <c r="Q55" t="s">
        <v>130</v>
      </c>
      <c r="S55" t="s">
        <v>14</v>
      </c>
      <c r="U55">
        <v>12</v>
      </c>
      <c r="Y55" t="s">
        <v>14</v>
      </c>
      <c r="AA55">
        <v>69500</v>
      </c>
    </row>
    <row r="56" spans="1:27" x14ac:dyDescent="0.3">
      <c r="A56" t="s">
        <v>521</v>
      </c>
      <c r="C56" t="s">
        <v>1132</v>
      </c>
      <c r="E56" t="s">
        <v>1131</v>
      </c>
      <c r="G56">
        <v>70</v>
      </c>
      <c r="I56" s="47">
        <v>20570</v>
      </c>
      <c r="J56" s="47"/>
      <c r="K56" t="s">
        <v>533</v>
      </c>
      <c r="M56" t="s">
        <v>536</v>
      </c>
      <c r="O56">
        <v>16300</v>
      </c>
      <c r="Q56">
        <v>16500</v>
      </c>
      <c r="S56" t="s">
        <v>14</v>
      </c>
      <c r="U56">
        <v>25</v>
      </c>
      <c r="Y56" t="s">
        <v>14</v>
      </c>
      <c r="AA56">
        <v>65500</v>
      </c>
    </row>
    <row r="57" spans="1:27" x14ac:dyDescent="0.3">
      <c r="A57" t="s">
        <v>171</v>
      </c>
      <c r="C57" t="s">
        <v>1130</v>
      </c>
      <c r="E57" t="s">
        <v>1129</v>
      </c>
      <c r="G57">
        <v>24</v>
      </c>
      <c r="I57">
        <v>37435</v>
      </c>
      <c r="K57" t="s">
        <v>601</v>
      </c>
      <c r="M57" t="s">
        <v>600</v>
      </c>
      <c r="O57">
        <v>6100</v>
      </c>
      <c r="S57" t="s">
        <v>695</v>
      </c>
      <c r="U57">
        <v>15</v>
      </c>
      <c r="Y57" t="s">
        <v>695</v>
      </c>
      <c r="AA57">
        <v>67000</v>
      </c>
    </row>
    <row r="58" spans="1:27" x14ac:dyDescent="0.3">
      <c r="A58" t="s">
        <v>521</v>
      </c>
      <c r="C58" t="s">
        <v>1128</v>
      </c>
      <c r="E58" t="s">
        <v>1127</v>
      </c>
      <c r="G58">
        <v>47</v>
      </c>
      <c r="I58">
        <v>28802</v>
      </c>
      <c r="K58" t="s">
        <v>601</v>
      </c>
      <c r="M58" t="s">
        <v>25</v>
      </c>
      <c r="O58">
        <v>22700</v>
      </c>
      <c r="Q58">
        <v>8500</v>
      </c>
      <c r="U58">
        <v>35</v>
      </c>
      <c r="AA58">
        <v>23500</v>
      </c>
    </row>
    <row r="59" spans="1:27" x14ac:dyDescent="0.3">
      <c r="A59" t="s">
        <v>521</v>
      </c>
      <c r="C59" t="s">
        <v>1126</v>
      </c>
      <c r="E59" t="s">
        <v>1125</v>
      </c>
      <c r="G59">
        <v>33</v>
      </c>
      <c r="I59" s="47">
        <v>33881</v>
      </c>
      <c r="J59" s="47"/>
      <c r="K59" t="s">
        <v>641</v>
      </c>
      <c r="M59" t="s">
        <v>17</v>
      </c>
      <c r="O59" s="46">
        <v>29700</v>
      </c>
      <c r="P59" s="46"/>
      <c r="Q59">
        <v>22000</v>
      </c>
      <c r="S59" t="s">
        <v>14</v>
      </c>
      <c r="U59" t="s">
        <v>1081</v>
      </c>
      <c r="Y59" t="s">
        <v>14</v>
      </c>
      <c r="AA59">
        <v>81000</v>
      </c>
    </row>
    <row r="60" spans="1:27" x14ac:dyDescent="0.3">
      <c r="A60" t="s">
        <v>528</v>
      </c>
      <c r="C60" t="s">
        <v>1124</v>
      </c>
      <c r="E60" t="s">
        <v>1123</v>
      </c>
      <c r="G60">
        <v>38</v>
      </c>
      <c r="I60" s="47">
        <v>32102</v>
      </c>
      <c r="J60" s="47"/>
      <c r="K60" t="s">
        <v>564</v>
      </c>
      <c r="M60" t="s">
        <v>1022</v>
      </c>
      <c r="O60">
        <v>13500</v>
      </c>
      <c r="Q60">
        <v>24000</v>
      </c>
      <c r="S60" t="s">
        <v>14</v>
      </c>
      <c r="U60">
        <v>2</v>
      </c>
      <c r="Y60" t="s">
        <v>14</v>
      </c>
      <c r="AA60">
        <v>17500</v>
      </c>
    </row>
    <row r="61" spans="1:27" x14ac:dyDescent="0.3">
      <c r="A61" t="s">
        <v>528</v>
      </c>
      <c r="C61" t="s">
        <v>1122</v>
      </c>
      <c r="E61">
        <v>3400</v>
      </c>
      <c r="G61">
        <v>35</v>
      </c>
      <c r="I61" s="47">
        <v>33204</v>
      </c>
      <c r="J61" s="47"/>
      <c r="K61" t="s">
        <v>577</v>
      </c>
      <c r="M61" t="s">
        <v>566</v>
      </c>
      <c r="O61">
        <v>17600</v>
      </c>
      <c r="Q61">
        <v>44000</v>
      </c>
      <c r="S61" t="s">
        <v>695</v>
      </c>
      <c r="U61">
        <v>22</v>
      </c>
      <c r="Y61" t="s">
        <v>695</v>
      </c>
      <c r="AA61">
        <v>56500</v>
      </c>
    </row>
    <row r="62" spans="1:27" x14ac:dyDescent="0.3">
      <c r="A62" t="s">
        <v>528</v>
      </c>
      <c r="C62" t="s">
        <v>26</v>
      </c>
      <c r="E62" t="s">
        <v>1121</v>
      </c>
      <c r="G62">
        <v>67</v>
      </c>
      <c r="I62">
        <v>21512</v>
      </c>
      <c r="K62" t="s">
        <v>533</v>
      </c>
      <c r="M62" t="s">
        <v>27</v>
      </c>
      <c r="O62" s="48">
        <v>3200</v>
      </c>
      <c r="P62" s="48"/>
      <c r="Q62">
        <v>6500</v>
      </c>
      <c r="S62" t="s">
        <v>14</v>
      </c>
      <c r="U62">
        <v>20</v>
      </c>
      <c r="Y62" t="s">
        <v>14</v>
      </c>
      <c r="AA62">
        <v>52500</v>
      </c>
    </row>
    <row r="63" spans="1:27" x14ac:dyDescent="0.3">
      <c r="A63" t="s">
        <v>734</v>
      </c>
      <c r="C63" t="s">
        <v>1120</v>
      </c>
      <c r="E63" t="s">
        <v>1119</v>
      </c>
      <c r="G63">
        <v>51</v>
      </c>
      <c r="I63" s="47">
        <v>27377</v>
      </c>
      <c r="J63" s="47"/>
      <c r="K63" t="s">
        <v>564</v>
      </c>
      <c r="M63" t="s">
        <v>770</v>
      </c>
      <c r="O63">
        <v>16300</v>
      </c>
      <c r="S63" t="s">
        <v>547</v>
      </c>
      <c r="U63">
        <v>8</v>
      </c>
      <c r="Y63" t="s">
        <v>547</v>
      </c>
      <c r="AA63">
        <v>33000</v>
      </c>
    </row>
    <row r="64" spans="1:27" x14ac:dyDescent="0.3">
      <c r="A64" t="s">
        <v>528</v>
      </c>
      <c r="C64" t="s">
        <v>859</v>
      </c>
      <c r="E64" t="s">
        <v>858</v>
      </c>
      <c r="G64" t="s">
        <v>662</v>
      </c>
      <c r="I64" s="47">
        <v>29113</v>
      </c>
      <c r="J64" s="47"/>
      <c r="K64" t="s">
        <v>530</v>
      </c>
      <c r="M64" t="s">
        <v>576</v>
      </c>
      <c r="O64">
        <v>15000</v>
      </c>
      <c r="Q64">
        <v>32500</v>
      </c>
      <c r="S64" t="s">
        <v>14</v>
      </c>
      <c r="U64">
        <v>40</v>
      </c>
      <c r="Y64" t="s">
        <v>14</v>
      </c>
      <c r="AA64">
        <v>4500</v>
      </c>
    </row>
    <row r="65" spans="1:27" x14ac:dyDescent="0.3">
      <c r="A65" t="s">
        <v>521</v>
      </c>
      <c r="C65" t="s">
        <v>532</v>
      </c>
      <c r="E65">
        <v>23900</v>
      </c>
      <c r="G65">
        <v>39</v>
      </c>
      <c r="I65">
        <v>31740</v>
      </c>
      <c r="K65" t="s">
        <v>564</v>
      </c>
      <c r="M65" t="s">
        <v>28</v>
      </c>
      <c r="O65" s="48">
        <v>13200</v>
      </c>
      <c r="P65" s="48"/>
      <c r="Q65" t="s">
        <v>130</v>
      </c>
      <c r="S65" t="s">
        <v>14</v>
      </c>
      <c r="U65" t="s">
        <v>1081</v>
      </c>
      <c r="Y65" t="s">
        <v>14</v>
      </c>
      <c r="AA65">
        <v>36000</v>
      </c>
    </row>
    <row r="66" spans="1:27" x14ac:dyDescent="0.3">
      <c r="A66" t="s">
        <v>521</v>
      </c>
      <c r="C66" t="s">
        <v>1118</v>
      </c>
      <c r="E66" t="s">
        <v>1117</v>
      </c>
      <c r="G66">
        <v>24</v>
      </c>
      <c r="I66">
        <v>37172</v>
      </c>
      <c r="K66" t="s">
        <v>526</v>
      </c>
      <c r="M66" t="s">
        <v>525</v>
      </c>
      <c r="O66">
        <v>21600</v>
      </c>
      <c r="Q66" s="48">
        <v>25000</v>
      </c>
      <c r="R66" s="48"/>
      <c r="S66" t="s">
        <v>14</v>
      </c>
      <c r="U66">
        <v>33</v>
      </c>
      <c r="Y66" t="s">
        <v>14</v>
      </c>
      <c r="AA66">
        <v>17500</v>
      </c>
    </row>
    <row r="67" spans="1:27" x14ac:dyDescent="0.3">
      <c r="A67" t="s">
        <v>521</v>
      </c>
      <c r="C67" t="s">
        <v>611</v>
      </c>
      <c r="E67">
        <v>16100</v>
      </c>
      <c r="G67">
        <v>57</v>
      </c>
      <c r="K67" t="s">
        <v>573</v>
      </c>
      <c r="M67" t="s">
        <v>612</v>
      </c>
      <c r="O67" t="s">
        <v>535</v>
      </c>
      <c r="S67" t="s">
        <v>13</v>
      </c>
      <c r="U67" t="s">
        <v>689</v>
      </c>
      <c r="Y67" t="s">
        <v>13</v>
      </c>
      <c r="AA67">
        <v>13000</v>
      </c>
    </row>
    <row r="68" spans="1:27" x14ac:dyDescent="0.3">
      <c r="A68" t="s">
        <v>521</v>
      </c>
      <c r="C68" t="s">
        <v>1116</v>
      </c>
      <c r="E68">
        <v>6300</v>
      </c>
      <c r="G68">
        <v>68</v>
      </c>
      <c r="K68" t="s">
        <v>625</v>
      </c>
      <c r="M68" t="s">
        <v>586</v>
      </c>
      <c r="O68" s="46">
        <v>19900</v>
      </c>
      <c r="P68" s="46"/>
      <c r="Q68">
        <v>35000</v>
      </c>
      <c r="S68" t="s">
        <v>547</v>
      </c>
      <c r="U68">
        <v>25</v>
      </c>
      <c r="Y68" t="s">
        <v>547</v>
      </c>
      <c r="AA68">
        <v>59500</v>
      </c>
    </row>
    <row r="69" spans="1:27" x14ac:dyDescent="0.3">
      <c r="A69" t="s">
        <v>521</v>
      </c>
      <c r="C69" t="s">
        <v>1115</v>
      </c>
      <c r="E69">
        <v>27200</v>
      </c>
      <c r="G69">
        <v>56</v>
      </c>
      <c r="I69" s="47">
        <v>25710</v>
      </c>
      <c r="J69" s="47"/>
      <c r="K69" t="s">
        <v>530</v>
      </c>
      <c r="M69" t="s">
        <v>576</v>
      </c>
      <c r="O69">
        <v>14100</v>
      </c>
      <c r="Q69">
        <v>1500</v>
      </c>
      <c r="S69" t="s">
        <v>14</v>
      </c>
      <c r="U69">
        <v>26</v>
      </c>
      <c r="Y69" t="s">
        <v>14</v>
      </c>
      <c r="AA69">
        <v>36000</v>
      </c>
    </row>
    <row r="70" spans="1:27" x14ac:dyDescent="0.3">
      <c r="A70" t="s">
        <v>171</v>
      </c>
      <c r="C70" t="s">
        <v>1114</v>
      </c>
      <c r="E70" t="s">
        <v>1113</v>
      </c>
      <c r="G70">
        <v>33</v>
      </c>
      <c r="I70" s="47">
        <v>34027</v>
      </c>
      <c r="J70" s="47"/>
      <c r="K70" t="s">
        <v>533</v>
      </c>
      <c r="M70" t="s">
        <v>869</v>
      </c>
      <c r="O70">
        <v>3400</v>
      </c>
      <c r="Q70">
        <v>0</v>
      </c>
      <c r="S70" t="s">
        <v>14</v>
      </c>
      <c r="U70">
        <v>13</v>
      </c>
      <c r="Y70" t="s">
        <v>14</v>
      </c>
      <c r="AA70">
        <v>70000</v>
      </c>
    </row>
    <row r="71" spans="1:27" x14ac:dyDescent="0.3">
      <c r="A71" t="s">
        <v>521</v>
      </c>
      <c r="C71" t="s">
        <v>1112</v>
      </c>
      <c r="E71" t="s">
        <v>1111</v>
      </c>
      <c r="G71">
        <v>41</v>
      </c>
      <c r="I71" s="47">
        <v>30944</v>
      </c>
      <c r="J71" s="47"/>
      <c r="K71" t="s">
        <v>569</v>
      </c>
      <c r="M71" t="s">
        <v>558</v>
      </c>
      <c r="O71" t="s">
        <v>1110</v>
      </c>
      <c r="Q71" s="46">
        <v>20500</v>
      </c>
      <c r="R71" s="46"/>
      <c r="S71" t="s">
        <v>13</v>
      </c>
      <c r="U71">
        <v>8</v>
      </c>
      <c r="Y71" t="s">
        <v>13</v>
      </c>
      <c r="AA71">
        <v>44000</v>
      </c>
    </row>
    <row r="72" spans="1:27" x14ac:dyDescent="0.3">
      <c r="A72" t="s">
        <v>521</v>
      </c>
      <c r="C72" t="s">
        <v>1003</v>
      </c>
      <c r="E72" t="s">
        <v>1109</v>
      </c>
      <c r="I72" s="47">
        <v>34411</v>
      </c>
      <c r="J72" s="47"/>
      <c r="K72" t="s">
        <v>556</v>
      </c>
      <c r="M72" t="s">
        <v>556</v>
      </c>
      <c r="Q72">
        <v>0</v>
      </c>
      <c r="S72" t="s">
        <v>14</v>
      </c>
      <c r="U72">
        <v>20</v>
      </c>
      <c r="Y72" t="s">
        <v>14</v>
      </c>
      <c r="AA72">
        <v>42000</v>
      </c>
    </row>
    <row r="73" spans="1:27" x14ac:dyDescent="0.3">
      <c r="A73" t="s">
        <v>521</v>
      </c>
      <c r="C73" t="s">
        <v>1108</v>
      </c>
      <c r="E73" t="s">
        <v>1107</v>
      </c>
      <c r="G73">
        <v>34</v>
      </c>
      <c r="I73">
        <v>33525</v>
      </c>
      <c r="K73" t="s">
        <v>577</v>
      </c>
      <c r="O73">
        <v>28000</v>
      </c>
      <c r="Q73">
        <v>36500</v>
      </c>
      <c r="S73" t="s">
        <v>14</v>
      </c>
      <c r="U73">
        <v>33</v>
      </c>
      <c r="Y73" t="s">
        <v>14</v>
      </c>
      <c r="AA73">
        <v>60000</v>
      </c>
    </row>
    <row r="74" spans="1:27" x14ac:dyDescent="0.3">
      <c r="A74" t="s">
        <v>521</v>
      </c>
      <c r="C74" t="s">
        <v>1106</v>
      </c>
      <c r="E74" t="s">
        <v>1105</v>
      </c>
      <c r="G74">
        <v>24</v>
      </c>
      <c r="I74">
        <v>37259</v>
      </c>
      <c r="K74" t="s">
        <v>556</v>
      </c>
      <c r="M74" t="s">
        <v>556</v>
      </c>
      <c r="O74">
        <v>25200</v>
      </c>
      <c r="Q74">
        <v>0</v>
      </c>
      <c r="S74" t="s">
        <v>14</v>
      </c>
      <c r="U74">
        <v>10</v>
      </c>
      <c r="Y74" t="s">
        <v>14</v>
      </c>
      <c r="AA74">
        <v>69500</v>
      </c>
    </row>
    <row r="75" spans="1:27" x14ac:dyDescent="0.3">
      <c r="A75" t="s">
        <v>521</v>
      </c>
      <c r="C75" t="s">
        <v>29</v>
      </c>
      <c r="E75" t="s">
        <v>1104</v>
      </c>
      <c r="G75">
        <v>55</v>
      </c>
      <c r="I75">
        <v>26104</v>
      </c>
      <c r="K75" t="s">
        <v>564</v>
      </c>
      <c r="M75" t="s">
        <v>770</v>
      </c>
      <c r="O75" s="46">
        <v>22100</v>
      </c>
      <c r="P75" s="46"/>
      <c r="Q75">
        <v>41500</v>
      </c>
      <c r="S75" t="s">
        <v>14</v>
      </c>
      <c r="U75">
        <v>18</v>
      </c>
      <c r="Y75" t="s">
        <v>14</v>
      </c>
      <c r="AA75">
        <v>65000</v>
      </c>
    </row>
    <row r="76" spans="1:27" x14ac:dyDescent="0.3">
      <c r="A76" t="s">
        <v>528</v>
      </c>
      <c r="C76" t="s">
        <v>1103</v>
      </c>
      <c r="E76" t="s">
        <v>1102</v>
      </c>
      <c r="G76">
        <v>59</v>
      </c>
      <c r="I76">
        <v>24512</v>
      </c>
      <c r="K76" t="s">
        <v>522</v>
      </c>
      <c r="M76" t="s">
        <v>23</v>
      </c>
      <c r="O76">
        <v>6300</v>
      </c>
      <c r="Q76">
        <v>15000</v>
      </c>
      <c r="S76" t="s">
        <v>14</v>
      </c>
      <c r="U76">
        <v>42</v>
      </c>
      <c r="Y76" t="s">
        <v>14</v>
      </c>
      <c r="AA76">
        <v>8500</v>
      </c>
    </row>
    <row r="77" spans="1:27" x14ac:dyDescent="0.3">
      <c r="A77" t="s">
        <v>528</v>
      </c>
      <c r="C77" t="s">
        <v>1101</v>
      </c>
      <c r="E77" t="s">
        <v>1100</v>
      </c>
      <c r="G77">
        <v>70</v>
      </c>
      <c r="I77" s="47">
        <v>20502</v>
      </c>
      <c r="J77" s="47"/>
      <c r="K77" t="s">
        <v>573</v>
      </c>
      <c r="M77" t="s">
        <v>572</v>
      </c>
      <c r="O77" s="46">
        <v>2500</v>
      </c>
      <c r="P77" s="46"/>
      <c r="Q77">
        <v>0</v>
      </c>
      <c r="S77" t="s">
        <v>14</v>
      </c>
      <c r="U77">
        <v>38</v>
      </c>
      <c r="Y77" t="s">
        <v>14</v>
      </c>
      <c r="AA77">
        <v>44500</v>
      </c>
    </row>
    <row r="78" spans="1:27" x14ac:dyDescent="0.3">
      <c r="A78" t="s">
        <v>521</v>
      </c>
      <c r="C78" t="s">
        <v>1046</v>
      </c>
      <c r="E78" t="s">
        <v>1045</v>
      </c>
      <c r="G78">
        <v>37</v>
      </c>
      <c r="I78">
        <v>32543</v>
      </c>
      <c r="K78" t="s">
        <v>619</v>
      </c>
      <c r="M78" t="s">
        <v>550</v>
      </c>
      <c r="O78">
        <v>29200</v>
      </c>
      <c r="Q78" s="48">
        <v>45000</v>
      </c>
      <c r="R78" s="48"/>
      <c r="S78" t="s">
        <v>14</v>
      </c>
      <c r="U78">
        <v>26</v>
      </c>
      <c r="Y78" t="s">
        <v>14</v>
      </c>
      <c r="AA78">
        <v>23500</v>
      </c>
    </row>
    <row r="79" spans="1:27" x14ac:dyDescent="0.3">
      <c r="A79" t="s">
        <v>521</v>
      </c>
      <c r="C79" t="s">
        <v>894</v>
      </c>
      <c r="E79" t="s">
        <v>893</v>
      </c>
      <c r="G79">
        <v>27</v>
      </c>
      <c r="I79">
        <v>36308</v>
      </c>
      <c r="K79" t="s">
        <v>595</v>
      </c>
      <c r="M79" t="s">
        <v>597</v>
      </c>
      <c r="O79">
        <v>5300</v>
      </c>
      <c r="Q79" t="s">
        <v>892</v>
      </c>
      <c r="S79" t="s">
        <v>695</v>
      </c>
      <c r="U79">
        <v>11</v>
      </c>
      <c r="Y79" t="s">
        <v>695</v>
      </c>
      <c r="AA79">
        <v>28500</v>
      </c>
    </row>
    <row r="80" spans="1:27" x14ac:dyDescent="0.3">
      <c r="A80" t="s">
        <v>521</v>
      </c>
      <c r="C80" t="s">
        <v>1099</v>
      </c>
      <c r="E80" t="s">
        <v>1098</v>
      </c>
      <c r="G80">
        <v>55</v>
      </c>
      <c r="I80">
        <v>25874</v>
      </c>
      <c r="K80" t="s">
        <v>556</v>
      </c>
      <c r="M80" t="s">
        <v>866</v>
      </c>
      <c r="O80" s="46">
        <v>29100</v>
      </c>
      <c r="P80" s="46"/>
      <c r="Q80" t="s">
        <v>1097</v>
      </c>
      <c r="S80" t="s">
        <v>14</v>
      </c>
      <c r="U80">
        <v>11</v>
      </c>
      <c r="Y80" t="s">
        <v>14</v>
      </c>
      <c r="AA80">
        <v>56000</v>
      </c>
    </row>
    <row r="81" spans="1:27" x14ac:dyDescent="0.3">
      <c r="A81" t="s">
        <v>171</v>
      </c>
      <c r="C81" t="s">
        <v>1096</v>
      </c>
      <c r="E81" t="s">
        <v>1095</v>
      </c>
      <c r="G81">
        <v>53</v>
      </c>
      <c r="I81" s="47">
        <v>26812</v>
      </c>
      <c r="J81" s="47"/>
      <c r="K81" t="s">
        <v>539</v>
      </c>
      <c r="M81" t="s">
        <v>536</v>
      </c>
      <c r="O81">
        <v>27800</v>
      </c>
      <c r="Q81" s="48">
        <v>52000</v>
      </c>
      <c r="R81" s="48"/>
      <c r="S81" t="s">
        <v>14</v>
      </c>
      <c r="U81">
        <v>43</v>
      </c>
      <c r="Y81" t="s">
        <v>14</v>
      </c>
      <c r="AA81">
        <v>93500</v>
      </c>
    </row>
    <row r="82" spans="1:27" x14ac:dyDescent="0.3">
      <c r="A82" t="s">
        <v>521</v>
      </c>
      <c r="C82" t="s">
        <v>1094</v>
      </c>
      <c r="E82" t="s">
        <v>1093</v>
      </c>
      <c r="G82">
        <v>40</v>
      </c>
      <c r="I82">
        <v>31647</v>
      </c>
      <c r="K82" t="s">
        <v>530</v>
      </c>
      <c r="M82" t="s">
        <v>576</v>
      </c>
      <c r="O82" s="48">
        <v>18700</v>
      </c>
      <c r="P82" s="48"/>
      <c r="Q82">
        <v>15000</v>
      </c>
      <c r="U82">
        <v>26</v>
      </c>
      <c r="AA82">
        <v>89500</v>
      </c>
    </row>
    <row r="83" spans="1:27" x14ac:dyDescent="0.3">
      <c r="A83" t="s">
        <v>521</v>
      </c>
      <c r="C83" t="s">
        <v>1092</v>
      </c>
      <c r="E83">
        <v>34400</v>
      </c>
      <c r="G83">
        <v>64</v>
      </c>
      <c r="I83">
        <v>22836</v>
      </c>
      <c r="K83" t="s">
        <v>559</v>
      </c>
      <c r="M83" t="s">
        <v>657</v>
      </c>
      <c r="O83">
        <v>24300</v>
      </c>
      <c r="Q83" s="46">
        <v>16500</v>
      </c>
      <c r="R83" s="46"/>
      <c r="S83" t="s">
        <v>13</v>
      </c>
      <c r="U83">
        <v>24</v>
      </c>
      <c r="Y83" t="s">
        <v>13</v>
      </c>
      <c r="AA83">
        <v>57000</v>
      </c>
    </row>
    <row r="84" spans="1:27" x14ac:dyDescent="0.3">
      <c r="A84" t="s">
        <v>521</v>
      </c>
      <c r="C84" t="s">
        <v>1091</v>
      </c>
      <c r="E84" t="s">
        <v>1090</v>
      </c>
      <c r="G84">
        <v>25</v>
      </c>
      <c r="I84" s="47">
        <v>37091</v>
      </c>
      <c r="J84" s="47"/>
      <c r="K84" t="s">
        <v>526</v>
      </c>
      <c r="M84" t="s">
        <v>525</v>
      </c>
      <c r="O84" s="46">
        <v>28800</v>
      </c>
      <c r="P84" s="46"/>
      <c r="S84" t="s">
        <v>14</v>
      </c>
      <c r="U84">
        <v>12</v>
      </c>
      <c r="Y84" t="s">
        <v>14</v>
      </c>
      <c r="AA84">
        <v>46500</v>
      </c>
    </row>
    <row r="85" spans="1:27" x14ac:dyDescent="0.3">
      <c r="A85" t="s">
        <v>521</v>
      </c>
      <c r="C85" t="s">
        <v>1089</v>
      </c>
      <c r="E85" t="s">
        <v>1088</v>
      </c>
      <c r="G85" t="s">
        <v>1087</v>
      </c>
      <c r="I85" s="47">
        <v>26161</v>
      </c>
      <c r="J85" s="47"/>
      <c r="K85" t="s">
        <v>518</v>
      </c>
      <c r="O85">
        <v>12200</v>
      </c>
      <c r="Q85" t="s">
        <v>1086</v>
      </c>
      <c r="S85" t="s">
        <v>562</v>
      </c>
      <c r="U85">
        <v>33</v>
      </c>
      <c r="Y85" t="s">
        <v>562</v>
      </c>
      <c r="AA85">
        <v>78000</v>
      </c>
    </row>
    <row r="86" spans="1:27" x14ac:dyDescent="0.3">
      <c r="A86" t="s">
        <v>521</v>
      </c>
      <c r="C86" t="s">
        <v>1055</v>
      </c>
      <c r="E86">
        <v>32000</v>
      </c>
      <c r="G86">
        <v>68</v>
      </c>
      <c r="I86">
        <v>21162</v>
      </c>
      <c r="K86" t="s">
        <v>641</v>
      </c>
      <c r="M86" t="s">
        <v>576</v>
      </c>
      <c r="O86" s="46">
        <v>11500</v>
      </c>
      <c r="P86" s="46"/>
      <c r="Q86">
        <v>17500</v>
      </c>
      <c r="S86" t="s">
        <v>14</v>
      </c>
      <c r="U86">
        <v>19</v>
      </c>
      <c r="Y86" t="s">
        <v>14</v>
      </c>
      <c r="AA86">
        <v>26000</v>
      </c>
    </row>
    <row r="87" spans="1:27" x14ac:dyDescent="0.3">
      <c r="A87" t="s">
        <v>521</v>
      </c>
      <c r="C87" t="s">
        <v>1085</v>
      </c>
      <c r="E87" t="s">
        <v>1084</v>
      </c>
      <c r="G87">
        <v>37</v>
      </c>
      <c r="I87">
        <v>32412</v>
      </c>
      <c r="K87" t="s">
        <v>530</v>
      </c>
      <c r="M87" t="s">
        <v>566</v>
      </c>
      <c r="O87">
        <v>24700</v>
      </c>
      <c r="Q87" s="48">
        <v>23000</v>
      </c>
      <c r="R87" s="48"/>
      <c r="S87" t="s">
        <v>13</v>
      </c>
      <c r="U87" t="s">
        <v>963</v>
      </c>
      <c r="Y87" t="s">
        <v>13</v>
      </c>
      <c r="AA87">
        <v>37500</v>
      </c>
    </row>
    <row r="88" spans="1:27" x14ac:dyDescent="0.3">
      <c r="A88" t="s">
        <v>521</v>
      </c>
      <c r="C88" t="s">
        <v>1083</v>
      </c>
      <c r="E88" t="s">
        <v>1082</v>
      </c>
      <c r="G88">
        <v>62</v>
      </c>
      <c r="I88">
        <v>23488</v>
      </c>
      <c r="K88" t="s">
        <v>526</v>
      </c>
      <c r="M88" t="s">
        <v>525</v>
      </c>
      <c r="O88" t="s">
        <v>535</v>
      </c>
      <c r="Q88" t="s">
        <v>130</v>
      </c>
      <c r="S88" t="s">
        <v>14</v>
      </c>
      <c r="U88" t="s">
        <v>1081</v>
      </c>
      <c r="Y88" t="s">
        <v>14</v>
      </c>
      <c r="AA88">
        <v>72000</v>
      </c>
    </row>
    <row r="89" spans="1:27" x14ac:dyDescent="0.3">
      <c r="A89" t="s">
        <v>521</v>
      </c>
      <c r="C89" t="s">
        <v>1080</v>
      </c>
      <c r="E89" t="s">
        <v>1079</v>
      </c>
      <c r="G89" t="s">
        <v>1078</v>
      </c>
      <c r="I89">
        <v>37491</v>
      </c>
      <c r="K89" t="s">
        <v>556</v>
      </c>
      <c r="M89" t="s">
        <v>866</v>
      </c>
      <c r="O89" s="48">
        <v>8900</v>
      </c>
      <c r="P89" s="48"/>
      <c r="Q89">
        <v>19500</v>
      </c>
      <c r="S89" t="s">
        <v>13</v>
      </c>
      <c r="U89">
        <v>33</v>
      </c>
      <c r="Y89" t="s">
        <v>13</v>
      </c>
      <c r="AA89">
        <v>96500</v>
      </c>
    </row>
    <row r="90" spans="1:27" x14ac:dyDescent="0.3">
      <c r="A90" t="s">
        <v>521</v>
      </c>
      <c r="C90" t="s">
        <v>1077</v>
      </c>
      <c r="E90" t="s">
        <v>1076</v>
      </c>
      <c r="G90">
        <v>35</v>
      </c>
      <c r="K90" t="s">
        <v>619</v>
      </c>
      <c r="M90" t="s">
        <v>550</v>
      </c>
      <c r="O90">
        <v>28000</v>
      </c>
      <c r="Q90" t="s">
        <v>1075</v>
      </c>
      <c r="S90" t="s">
        <v>14</v>
      </c>
      <c r="U90">
        <v>39</v>
      </c>
      <c r="Y90" t="s">
        <v>14</v>
      </c>
      <c r="AA90">
        <v>32000</v>
      </c>
    </row>
    <row r="91" spans="1:27" x14ac:dyDescent="0.3">
      <c r="A91" t="s">
        <v>521</v>
      </c>
      <c r="C91" t="s">
        <v>1074</v>
      </c>
      <c r="E91" t="s">
        <v>1073</v>
      </c>
      <c r="G91">
        <v>40</v>
      </c>
      <c r="I91">
        <v>31408</v>
      </c>
      <c r="K91" t="s">
        <v>1072</v>
      </c>
      <c r="O91">
        <v>17400</v>
      </c>
      <c r="Q91" s="46">
        <v>53000</v>
      </c>
      <c r="R91" s="46"/>
      <c r="S91" t="s">
        <v>13</v>
      </c>
      <c r="U91">
        <v>20</v>
      </c>
      <c r="Y91" t="s">
        <v>13</v>
      </c>
      <c r="AA91">
        <v>52500</v>
      </c>
    </row>
    <row r="92" spans="1:27" x14ac:dyDescent="0.3">
      <c r="A92" t="s">
        <v>581</v>
      </c>
      <c r="C92" t="s">
        <v>1071</v>
      </c>
      <c r="E92" t="s">
        <v>1070</v>
      </c>
      <c r="G92">
        <v>59</v>
      </c>
      <c r="I92">
        <v>24362</v>
      </c>
      <c r="K92" t="s">
        <v>577</v>
      </c>
      <c r="M92" t="s">
        <v>576</v>
      </c>
      <c r="O92">
        <v>18900</v>
      </c>
      <c r="Q92">
        <v>1000</v>
      </c>
      <c r="S92" t="s">
        <v>585</v>
      </c>
      <c r="U92">
        <v>42</v>
      </c>
      <c r="Y92" t="s">
        <v>585</v>
      </c>
      <c r="AA92">
        <v>16500</v>
      </c>
    </row>
    <row r="93" spans="1:27" x14ac:dyDescent="0.3">
      <c r="A93" t="s">
        <v>528</v>
      </c>
      <c r="C93" t="s">
        <v>1069</v>
      </c>
      <c r="E93" t="s">
        <v>1068</v>
      </c>
      <c r="I93">
        <v>19672</v>
      </c>
      <c r="K93" t="s">
        <v>556</v>
      </c>
      <c r="M93" t="s">
        <v>556</v>
      </c>
      <c r="O93">
        <v>21000</v>
      </c>
      <c r="Q93">
        <v>0</v>
      </c>
      <c r="S93" t="s">
        <v>547</v>
      </c>
      <c r="U93">
        <v>11</v>
      </c>
      <c r="Y93" t="s">
        <v>547</v>
      </c>
      <c r="AA93">
        <v>75500</v>
      </c>
    </row>
    <row r="94" spans="1:27" x14ac:dyDescent="0.3">
      <c r="A94" t="s">
        <v>521</v>
      </c>
      <c r="C94" t="s">
        <v>1067</v>
      </c>
      <c r="E94" t="s">
        <v>1066</v>
      </c>
      <c r="G94">
        <v>42</v>
      </c>
      <c r="I94" s="47">
        <v>30666</v>
      </c>
      <c r="J94" s="47"/>
      <c r="K94" t="s">
        <v>625</v>
      </c>
      <c r="M94" t="s">
        <v>624</v>
      </c>
      <c r="O94">
        <v>6000</v>
      </c>
      <c r="Q94" s="48">
        <v>55000</v>
      </c>
      <c r="R94" s="48"/>
      <c r="S94" t="s">
        <v>14</v>
      </c>
      <c r="U94">
        <v>5</v>
      </c>
      <c r="Y94" t="s">
        <v>14</v>
      </c>
      <c r="AA94">
        <v>10000</v>
      </c>
    </row>
    <row r="95" spans="1:27" x14ac:dyDescent="0.3">
      <c r="A95" t="s">
        <v>521</v>
      </c>
      <c r="C95" t="s">
        <v>1065</v>
      </c>
      <c r="E95" t="s">
        <v>1064</v>
      </c>
      <c r="G95">
        <v>60</v>
      </c>
      <c r="I95" s="47">
        <v>24082</v>
      </c>
      <c r="J95" s="47"/>
      <c r="K95" t="s">
        <v>601</v>
      </c>
      <c r="M95" t="s">
        <v>600</v>
      </c>
      <c r="O95" s="46">
        <v>13800</v>
      </c>
      <c r="P95" s="46"/>
      <c r="Q95">
        <v>45500</v>
      </c>
      <c r="S95" t="s">
        <v>14</v>
      </c>
      <c r="U95">
        <v>30</v>
      </c>
      <c r="Y95" t="s">
        <v>14</v>
      </c>
      <c r="AA95">
        <v>17500</v>
      </c>
    </row>
    <row r="96" spans="1:27" x14ac:dyDescent="0.3">
      <c r="A96" t="s">
        <v>521</v>
      </c>
      <c r="C96" t="s">
        <v>1063</v>
      </c>
      <c r="E96" t="s">
        <v>1062</v>
      </c>
      <c r="G96">
        <v>36</v>
      </c>
      <c r="I96">
        <v>32791</v>
      </c>
      <c r="K96" t="s">
        <v>518</v>
      </c>
      <c r="M96" t="s">
        <v>23</v>
      </c>
      <c r="O96">
        <v>23900</v>
      </c>
      <c r="Q96">
        <v>58000</v>
      </c>
      <c r="S96" t="s">
        <v>14</v>
      </c>
      <c r="U96">
        <v>27</v>
      </c>
      <c r="Y96" t="s">
        <v>14</v>
      </c>
      <c r="AA96">
        <v>38000</v>
      </c>
    </row>
    <row r="97" spans="1:27" x14ac:dyDescent="0.3">
      <c r="A97" t="s">
        <v>521</v>
      </c>
      <c r="C97" t="s">
        <v>629</v>
      </c>
      <c r="E97" t="s">
        <v>1061</v>
      </c>
      <c r="G97">
        <v>74</v>
      </c>
      <c r="I97">
        <v>19121</v>
      </c>
      <c r="K97" t="s">
        <v>641</v>
      </c>
      <c r="M97" t="s">
        <v>576</v>
      </c>
      <c r="O97">
        <v>7300</v>
      </c>
      <c r="Q97">
        <v>1000</v>
      </c>
      <c r="S97" t="s">
        <v>14</v>
      </c>
      <c r="U97">
        <v>3</v>
      </c>
      <c r="Y97" t="s">
        <v>14</v>
      </c>
      <c r="AA97">
        <v>50500</v>
      </c>
    </row>
    <row r="98" spans="1:27" x14ac:dyDescent="0.3">
      <c r="A98" t="s">
        <v>581</v>
      </c>
      <c r="C98" t="s">
        <v>1060</v>
      </c>
      <c r="E98">
        <v>20700</v>
      </c>
      <c r="G98">
        <v>66</v>
      </c>
      <c r="I98" s="47">
        <v>22151</v>
      </c>
      <c r="J98" s="47"/>
      <c r="K98" t="s">
        <v>1039</v>
      </c>
      <c r="O98" t="s">
        <v>1059</v>
      </c>
      <c r="Q98">
        <v>16000</v>
      </c>
      <c r="S98" t="s">
        <v>13</v>
      </c>
      <c r="U98">
        <v>44</v>
      </c>
      <c r="Y98" t="s">
        <v>13</v>
      </c>
      <c r="AA98">
        <v>59000</v>
      </c>
    </row>
    <row r="99" spans="1:27" x14ac:dyDescent="0.3">
      <c r="A99" t="s">
        <v>521</v>
      </c>
      <c r="C99" t="s">
        <v>1058</v>
      </c>
      <c r="E99" t="s">
        <v>1057</v>
      </c>
      <c r="G99">
        <v>34</v>
      </c>
      <c r="I99">
        <v>33835</v>
      </c>
      <c r="K99" t="s">
        <v>933</v>
      </c>
      <c r="O99">
        <v>5100</v>
      </c>
      <c r="Q99">
        <v>17000</v>
      </c>
      <c r="S99" t="s">
        <v>14</v>
      </c>
      <c r="U99" t="s">
        <v>1056</v>
      </c>
      <c r="Y99" t="s">
        <v>14</v>
      </c>
      <c r="AA99">
        <v>4500</v>
      </c>
    </row>
    <row r="100" spans="1:27" x14ac:dyDescent="0.3">
      <c r="A100" t="s">
        <v>521</v>
      </c>
      <c r="C100" t="s">
        <v>1055</v>
      </c>
      <c r="E100" t="s">
        <v>1054</v>
      </c>
      <c r="G100">
        <v>65</v>
      </c>
      <c r="I100" s="47">
        <v>22436</v>
      </c>
      <c r="J100" s="47"/>
      <c r="K100" t="s">
        <v>526</v>
      </c>
      <c r="M100" t="s">
        <v>631</v>
      </c>
      <c r="O100">
        <v>12700</v>
      </c>
      <c r="Q100" s="48">
        <v>60500</v>
      </c>
      <c r="R100" s="48"/>
      <c r="S100" t="s">
        <v>14</v>
      </c>
      <c r="U100">
        <v>36</v>
      </c>
      <c r="Y100" t="s">
        <v>14</v>
      </c>
      <c r="AA100">
        <v>28000</v>
      </c>
    </row>
    <row r="101" spans="1:27" x14ac:dyDescent="0.3">
      <c r="A101" t="s">
        <v>528</v>
      </c>
      <c r="C101" t="s">
        <v>30</v>
      </c>
      <c r="E101" t="s">
        <v>1053</v>
      </c>
      <c r="G101">
        <v>68</v>
      </c>
      <c r="I101" s="47">
        <v>21205</v>
      </c>
      <c r="J101" s="47"/>
      <c r="K101" t="s">
        <v>518</v>
      </c>
      <c r="M101" t="s">
        <v>550</v>
      </c>
      <c r="O101">
        <v>8200</v>
      </c>
      <c r="Q101" s="48">
        <v>66000</v>
      </c>
      <c r="R101" s="48"/>
      <c r="S101" t="s">
        <v>14</v>
      </c>
      <c r="U101">
        <v>16</v>
      </c>
      <c r="Y101" t="s">
        <v>14</v>
      </c>
      <c r="AA101">
        <v>84000</v>
      </c>
    </row>
    <row r="102" spans="1:27" x14ac:dyDescent="0.3">
      <c r="A102" t="s">
        <v>528</v>
      </c>
      <c r="C102" t="s">
        <v>1052</v>
      </c>
      <c r="E102" t="s">
        <v>1051</v>
      </c>
      <c r="G102">
        <v>59</v>
      </c>
      <c r="I102" s="47">
        <v>24554</v>
      </c>
      <c r="J102" s="47"/>
      <c r="K102" t="s">
        <v>539</v>
      </c>
      <c r="M102" t="s">
        <v>536</v>
      </c>
      <c r="O102" s="48">
        <v>15200</v>
      </c>
      <c r="P102" s="48"/>
      <c r="Q102">
        <v>11000</v>
      </c>
      <c r="S102" t="s">
        <v>695</v>
      </c>
      <c r="U102">
        <v>27</v>
      </c>
      <c r="Y102" t="s">
        <v>695</v>
      </c>
      <c r="AA102">
        <v>87000</v>
      </c>
    </row>
    <row r="103" spans="1:27" x14ac:dyDescent="0.3">
      <c r="A103" t="s">
        <v>521</v>
      </c>
      <c r="C103" t="s">
        <v>1050</v>
      </c>
      <c r="E103" t="s">
        <v>1049</v>
      </c>
      <c r="G103">
        <v>29</v>
      </c>
      <c r="I103">
        <v>35600</v>
      </c>
      <c r="K103" t="s">
        <v>587</v>
      </c>
      <c r="M103" t="s">
        <v>624</v>
      </c>
      <c r="O103">
        <v>10000</v>
      </c>
      <c r="Q103">
        <v>25500</v>
      </c>
      <c r="S103" t="s">
        <v>14</v>
      </c>
      <c r="U103">
        <v>15</v>
      </c>
      <c r="Y103" t="s">
        <v>14</v>
      </c>
      <c r="AA103">
        <v>66000</v>
      </c>
    </row>
    <row r="104" spans="1:27" x14ac:dyDescent="0.3">
      <c r="A104" t="s">
        <v>521</v>
      </c>
      <c r="C104" t="s">
        <v>1048</v>
      </c>
      <c r="E104" t="s">
        <v>1047</v>
      </c>
      <c r="G104">
        <v>69</v>
      </c>
      <c r="I104">
        <v>20725</v>
      </c>
      <c r="K104" t="s">
        <v>595</v>
      </c>
      <c r="M104" t="s">
        <v>594</v>
      </c>
      <c r="O104">
        <v>8100</v>
      </c>
      <c r="Q104">
        <v>27500</v>
      </c>
      <c r="S104" t="s">
        <v>695</v>
      </c>
      <c r="U104">
        <v>42</v>
      </c>
      <c r="Y104" t="s">
        <v>695</v>
      </c>
      <c r="AA104">
        <v>72500</v>
      </c>
    </row>
    <row r="105" spans="1:27" x14ac:dyDescent="0.3">
      <c r="A105" t="s">
        <v>521</v>
      </c>
      <c r="C105" t="s">
        <v>1046</v>
      </c>
      <c r="E105" t="s">
        <v>1045</v>
      </c>
      <c r="G105">
        <v>37</v>
      </c>
      <c r="I105">
        <v>32543</v>
      </c>
      <c r="K105" t="s">
        <v>619</v>
      </c>
      <c r="M105" t="s">
        <v>550</v>
      </c>
      <c r="O105">
        <v>29200</v>
      </c>
      <c r="Q105" s="48">
        <v>45000</v>
      </c>
      <c r="R105" s="48"/>
      <c r="S105" t="s">
        <v>14</v>
      </c>
      <c r="U105">
        <v>26</v>
      </c>
      <c r="Y105" t="s">
        <v>14</v>
      </c>
      <c r="AA105">
        <v>78000</v>
      </c>
    </row>
    <row r="106" spans="1:27" x14ac:dyDescent="0.3">
      <c r="A106" t="s">
        <v>528</v>
      </c>
      <c r="C106" t="s">
        <v>593</v>
      </c>
      <c r="E106" t="s">
        <v>592</v>
      </c>
      <c r="G106">
        <v>30</v>
      </c>
      <c r="I106" s="47">
        <v>35200</v>
      </c>
      <c r="J106" s="47"/>
      <c r="K106" t="s">
        <v>533</v>
      </c>
      <c r="M106" t="s">
        <v>27</v>
      </c>
      <c r="O106">
        <v>26500</v>
      </c>
      <c r="Q106">
        <v>14500</v>
      </c>
      <c r="S106">
        <v>0</v>
      </c>
      <c r="U106">
        <v>15</v>
      </c>
      <c r="Y106">
        <v>0</v>
      </c>
      <c r="AA106">
        <v>65500</v>
      </c>
    </row>
    <row r="107" spans="1:27" x14ac:dyDescent="0.3">
      <c r="A107" t="s">
        <v>521</v>
      </c>
      <c r="C107" t="s">
        <v>1044</v>
      </c>
      <c r="E107" t="s">
        <v>1043</v>
      </c>
      <c r="G107">
        <v>58</v>
      </c>
      <c r="I107">
        <v>24905</v>
      </c>
      <c r="K107" t="s">
        <v>539</v>
      </c>
      <c r="M107" t="s">
        <v>27</v>
      </c>
      <c r="O107" s="46">
        <v>12400</v>
      </c>
      <c r="P107" s="46"/>
      <c r="Q107" s="46">
        <v>21500</v>
      </c>
      <c r="R107" s="46"/>
      <c r="S107" t="s">
        <v>13</v>
      </c>
      <c r="U107" t="s">
        <v>732</v>
      </c>
      <c r="Y107" t="s">
        <v>13</v>
      </c>
      <c r="AA107">
        <v>80000</v>
      </c>
    </row>
    <row r="108" spans="1:27" x14ac:dyDescent="0.3">
      <c r="A108" t="s">
        <v>521</v>
      </c>
      <c r="C108" t="s">
        <v>1042</v>
      </c>
      <c r="E108">
        <v>24000</v>
      </c>
      <c r="G108">
        <v>47</v>
      </c>
      <c r="I108" s="47">
        <v>29031</v>
      </c>
      <c r="J108" s="47"/>
      <c r="K108" t="s">
        <v>1041</v>
      </c>
      <c r="O108" s="46">
        <v>28400</v>
      </c>
      <c r="P108" s="46"/>
      <c r="Q108">
        <v>78000</v>
      </c>
      <c r="S108" t="s">
        <v>14</v>
      </c>
      <c r="U108">
        <v>37</v>
      </c>
      <c r="Y108" t="s">
        <v>14</v>
      </c>
      <c r="AA108">
        <v>99000</v>
      </c>
    </row>
    <row r="109" spans="1:27" x14ac:dyDescent="0.3">
      <c r="A109" t="s">
        <v>521</v>
      </c>
      <c r="C109" t="s">
        <v>31</v>
      </c>
      <c r="E109" t="s">
        <v>1040</v>
      </c>
      <c r="G109">
        <v>31</v>
      </c>
      <c r="I109" s="47">
        <v>34852</v>
      </c>
      <c r="J109" s="47"/>
      <c r="K109" t="s">
        <v>1039</v>
      </c>
      <c r="O109">
        <v>20500</v>
      </c>
      <c r="Q109" s="48">
        <v>47500</v>
      </c>
      <c r="R109" s="48"/>
      <c r="S109" t="s">
        <v>14</v>
      </c>
      <c r="U109">
        <v>11</v>
      </c>
      <c r="Y109" t="s">
        <v>14</v>
      </c>
      <c r="AA109">
        <v>18500</v>
      </c>
    </row>
    <row r="110" spans="1:27" x14ac:dyDescent="0.3">
      <c r="A110" t="s">
        <v>1038</v>
      </c>
      <c r="C110" t="s">
        <v>812</v>
      </c>
      <c r="E110" t="s">
        <v>1037</v>
      </c>
      <c r="G110">
        <v>63</v>
      </c>
      <c r="I110">
        <v>23084</v>
      </c>
      <c r="K110" t="s">
        <v>619</v>
      </c>
      <c r="M110" t="s">
        <v>550</v>
      </c>
      <c r="O110">
        <v>17300</v>
      </c>
      <c r="Q110">
        <v>22000</v>
      </c>
      <c r="S110" t="s">
        <v>14</v>
      </c>
      <c r="U110">
        <v>10</v>
      </c>
      <c r="Y110" t="s">
        <v>14</v>
      </c>
      <c r="AA110">
        <v>97000</v>
      </c>
    </row>
    <row r="111" spans="1:27" x14ac:dyDescent="0.3">
      <c r="A111" t="s">
        <v>521</v>
      </c>
      <c r="C111" t="s">
        <v>1036</v>
      </c>
      <c r="E111">
        <v>12700</v>
      </c>
      <c r="G111">
        <v>26</v>
      </c>
      <c r="I111" s="47">
        <v>36518</v>
      </c>
      <c r="J111" s="47"/>
      <c r="K111" t="s">
        <v>567</v>
      </c>
      <c r="M111" t="s">
        <v>576</v>
      </c>
      <c r="O111" s="48">
        <v>5000</v>
      </c>
      <c r="P111" s="48"/>
      <c r="Q111" t="s">
        <v>1035</v>
      </c>
      <c r="S111" t="s">
        <v>14</v>
      </c>
      <c r="U111">
        <v>35</v>
      </c>
      <c r="Y111" t="s">
        <v>14</v>
      </c>
      <c r="AA111">
        <v>18500</v>
      </c>
    </row>
    <row r="112" spans="1:27" x14ac:dyDescent="0.3">
      <c r="A112" t="s">
        <v>521</v>
      </c>
      <c r="C112" t="s">
        <v>1034</v>
      </c>
      <c r="E112">
        <v>18000</v>
      </c>
      <c r="G112">
        <v>29</v>
      </c>
      <c r="I112">
        <v>35344</v>
      </c>
      <c r="K112" t="s">
        <v>526</v>
      </c>
      <c r="M112" t="s">
        <v>631</v>
      </c>
      <c r="O112">
        <v>19900</v>
      </c>
      <c r="Q112">
        <v>49500</v>
      </c>
      <c r="S112" t="s">
        <v>13</v>
      </c>
      <c r="U112">
        <v>27</v>
      </c>
      <c r="Y112" t="s">
        <v>13</v>
      </c>
      <c r="AA112">
        <v>23000</v>
      </c>
    </row>
    <row r="113" spans="1:27" x14ac:dyDescent="0.3">
      <c r="A113" t="s">
        <v>521</v>
      </c>
      <c r="C113" t="s">
        <v>1033</v>
      </c>
      <c r="E113" t="s">
        <v>1032</v>
      </c>
      <c r="G113">
        <v>51</v>
      </c>
      <c r="I113" s="47">
        <v>27413</v>
      </c>
      <c r="J113" s="47"/>
      <c r="K113" t="s">
        <v>530</v>
      </c>
      <c r="M113" t="s">
        <v>17</v>
      </c>
      <c r="O113">
        <v>18500</v>
      </c>
      <c r="Q113" s="46">
        <v>69500</v>
      </c>
      <c r="R113" s="46"/>
      <c r="S113" t="s">
        <v>14</v>
      </c>
      <c r="U113" t="s">
        <v>1031</v>
      </c>
      <c r="Y113" t="s">
        <v>14</v>
      </c>
      <c r="AA113">
        <v>18000</v>
      </c>
    </row>
    <row r="114" spans="1:27" x14ac:dyDescent="0.3">
      <c r="A114" t="s">
        <v>521</v>
      </c>
      <c r="C114" t="s">
        <v>1030</v>
      </c>
      <c r="E114" t="s">
        <v>1029</v>
      </c>
      <c r="G114">
        <v>46</v>
      </c>
      <c r="I114" s="47">
        <v>29197</v>
      </c>
      <c r="J114" s="47"/>
      <c r="K114" t="s">
        <v>539</v>
      </c>
      <c r="M114" t="s">
        <v>536</v>
      </c>
      <c r="O114">
        <v>3200</v>
      </c>
      <c r="Q114">
        <v>0</v>
      </c>
      <c r="S114" t="s">
        <v>14</v>
      </c>
      <c r="U114">
        <v>16</v>
      </c>
      <c r="Y114" t="s">
        <v>14</v>
      </c>
      <c r="AA114">
        <v>61500</v>
      </c>
    </row>
    <row r="115" spans="1:27" x14ac:dyDescent="0.3">
      <c r="A115" t="s">
        <v>521</v>
      </c>
      <c r="C115" t="s">
        <v>1028</v>
      </c>
      <c r="E115" t="s">
        <v>1027</v>
      </c>
      <c r="G115">
        <v>65</v>
      </c>
      <c r="I115" s="47">
        <v>22505</v>
      </c>
      <c r="J115" s="47"/>
      <c r="K115" t="s">
        <v>567</v>
      </c>
      <c r="M115" t="s">
        <v>576</v>
      </c>
      <c r="O115" s="48">
        <v>29000</v>
      </c>
      <c r="P115" s="48"/>
      <c r="Q115">
        <v>28500</v>
      </c>
      <c r="S115" t="s">
        <v>14</v>
      </c>
      <c r="U115">
        <v>28</v>
      </c>
      <c r="Y115" t="s">
        <v>14</v>
      </c>
      <c r="AA115">
        <v>57500</v>
      </c>
    </row>
    <row r="116" spans="1:27" x14ac:dyDescent="0.3">
      <c r="A116" t="s">
        <v>521</v>
      </c>
      <c r="C116" t="s">
        <v>1026</v>
      </c>
      <c r="E116" t="s">
        <v>1025</v>
      </c>
      <c r="G116">
        <v>26</v>
      </c>
      <c r="I116">
        <v>36475</v>
      </c>
      <c r="K116" t="s">
        <v>1018</v>
      </c>
      <c r="O116">
        <v>13900</v>
      </c>
      <c r="Q116" s="48">
        <v>53500</v>
      </c>
      <c r="R116" s="48"/>
      <c r="S116" t="s">
        <v>14</v>
      </c>
      <c r="U116">
        <v>12</v>
      </c>
      <c r="Y116" t="s">
        <v>14</v>
      </c>
      <c r="AA116">
        <v>85000</v>
      </c>
    </row>
    <row r="117" spans="1:27" x14ac:dyDescent="0.3">
      <c r="A117" t="s">
        <v>528</v>
      </c>
      <c r="C117" t="s">
        <v>1024</v>
      </c>
      <c r="E117" t="s">
        <v>1023</v>
      </c>
      <c r="G117">
        <v>63</v>
      </c>
      <c r="I117">
        <v>22994</v>
      </c>
      <c r="K117" t="s">
        <v>564</v>
      </c>
      <c r="M117" t="s">
        <v>1022</v>
      </c>
      <c r="O117">
        <v>20000</v>
      </c>
      <c r="Q117" s="48">
        <v>29500</v>
      </c>
      <c r="R117" s="48"/>
      <c r="S117" t="s">
        <v>14</v>
      </c>
      <c r="U117">
        <v>42</v>
      </c>
      <c r="Y117" t="s">
        <v>14</v>
      </c>
      <c r="AA117">
        <v>5000</v>
      </c>
    </row>
    <row r="118" spans="1:27" x14ac:dyDescent="0.3">
      <c r="A118" t="s">
        <v>521</v>
      </c>
      <c r="C118" t="s">
        <v>1021</v>
      </c>
      <c r="E118">
        <v>27900</v>
      </c>
      <c r="G118">
        <v>71</v>
      </c>
      <c r="I118" s="47">
        <v>20094</v>
      </c>
      <c r="J118" s="47"/>
      <c r="K118" t="s">
        <v>522</v>
      </c>
      <c r="M118" t="s">
        <v>550</v>
      </c>
      <c r="O118">
        <v>24100</v>
      </c>
      <c r="Q118">
        <v>0</v>
      </c>
      <c r="S118" t="s">
        <v>695</v>
      </c>
      <c r="U118">
        <v>10</v>
      </c>
      <c r="Y118" t="s">
        <v>695</v>
      </c>
      <c r="AA118">
        <v>87000</v>
      </c>
    </row>
    <row r="119" spans="1:27" x14ac:dyDescent="0.3">
      <c r="A119" t="s">
        <v>521</v>
      </c>
      <c r="C119" t="s">
        <v>1020</v>
      </c>
      <c r="G119">
        <v>73</v>
      </c>
      <c r="I119">
        <v>19538</v>
      </c>
      <c r="K119" t="s">
        <v>625</v>
      </c>
      <c r="M119" t="s">
        <v>624</v>
      </c>
      <c r="O119">
        <v>12700</v>
      </c>
      <c r="Q119" s="48">
        <v>79500</v>
      </c>
      <c r="R119" s="48"/>
      <c r="S119" t="s">
        <v>14</v>
      </c>
      <c r="U119">
        <v>35</v>
      </c>
      <c r="Y119" t="s">
        <v>14</v>
      </c>
      <c r="AA119">
        <v>39000</v>
      </c>
    </row>
    <row r="120" spans="1:27" x14ac:dyDescent="0.3">
      <c r="A120" t="s">
        <v>521</v>
      </c>
      <c r="C120" t="s">
        <v>1019</v>
      </c>
      <c r="E120">
        <v>26400</v>
      </c>
      <c r="G120">
        <v>57</v>
      </c>
      <c r="I120">
        <v>25238</v>
      </c>
      <c r="K120" t="s">
        <v>1018</v>
      </c>
      <c r="O120">
        <v>3200</v>
      </c>
      <c r="S120" t="s">
        <v>14</v>
      </c>
      <c r="U120">
        <v>18</v>
      </c>
      <c r="Y120" t="s">
        <v>14</v>
      </c>
      <c r="AA120">
        <v>64000</v>
      </c>
    </row>
    <row r="121" spans="1:27" x14ac:dyDescent="0.3">
      <c r="A121" t="s">
        <v>521</v>
      </c>
      <c r="C121" t="s">
        <v>1017</v>
      </c>
      <c r="E121">
        <v>9900</v>
      </c>
      <c r="G121">
        <v>64</v>
      </c>
      <c r="I121" s="47">
        <v>22828</v>
      </c>
      <c r="J121" s="47"/>
      <c r="K121" t="s">
        <v>543</v>
      </c>
      <c r="M121" t="s">
        <v>16</v>
      </c>
      <c r="O121" s="48">
        <v>2900</v>
      </c>
      <c r="P121" s="48"/>
      <c r="Q121" s="48">
        <v>76000</v>
      </c>
      <c r="R121" s="48"/>
      <c r="S121" t="s">
        <v>14</v>
      </c>
      <c r="U121">
        <v>32</v>
      </c>
      <c r="Y121" t="s">
        <v>14</v>
      </c>
      <c r="AA121">
        <v>72500</v>
      </c>
    </row>
    <row r="122" spans="1:27" x14ac:dyDescent="0.3">
      <c r="A122" t="s">
        <v>528</v>
      </c>
      <c r="C122" t="s">
        <v>1016</v>
      </c>
      <c r="E122">
        <v>16000</v>
      </c>
      <c r="G122">
        <v>73</v>
      </c>
      <c r="I122" s="47">
        <v>19299</v>
      </c>
      <c r="J122" s="47"/>
      <c r="K122" t="s">
        <v>569</v>
      </c>
      <c r="M122" t="s">
        <v>15</v>
      </c>
      <c r="O122">
        <v>7100</v>
      </c>
      <c r="Q122" s="48">
        <v>58000</v>
      </c>
      <c r="R122" s="48"/>
      <c r="S122" t="s">
        <v>13</v>
      </c>
      <c r="U122">
        <v>22</v>
      </c>
      <c r="Y122" t="s">
        <v>13</v>
      </c>
      <c r="AA122">
        <v>46500</v>
      </c>
    </row>
    <row r="123" spans="1:27" x14ac:dyDescent="0.3">
      <c r="A123" t="s">
        <v>521</v>
      </c>
      <c r="C123" t="s">
        <v>1015</v>
      </c>
      <c r="E123" t="s">
        <v>1014</v>
      </c>
      <c r="G123">
        <v>28</v>
      </c>
      <c r="I123" s="47">
        <v>35993</v>
      </c>
      <c r="J123" s="47"/>
      <c r="K123" t="s">
        <v>573</v>
      </c>
      <c r="M123" t="s">
        <v>572</v>
      </c>
      <c r="O123" s="48">
        <v>13400</v>
      </c>
      <c r="P123" s="48"/>
      <c r="Q123" s="48">
        <v>54000</v>
      </c>
      <c r="R123" s="48"/>
      <c r="S123" t="s">
        <v>14</v>
      </c>
      <c r="U123">
        <v>15</v>
      </c>
      <c r="Y123" t="s">
        <v>14</v>
      </c>
      <c r="AA123">
        <v>99000</v>
      </c>
    </row>
    <row r="124" spans="1:27" x14ac:dyDescent="0.3">
      <c r="A124" t="s">
        <v>521</v>
      </c>
      <c r="C124" t="s">
        <v>32</v>
      </c>
      <c r="E124" t="s">
        <v>1013</v>
      </c>
      <c r="G124">
        <v>26</v>
      </c>
      <c r="I124">
        <v>36622</v>
      </c>
      <c r="K124" t="s">
        <v>556</v>
      </c>
      <c r="M124" t="s">
        <v>556</v>
      </c>
      <c r="O124" t="s">
        <v>1012</v>
      </c>
      <c r="Q124" s="48">
        <v>65500</v>
      </c>
      <c r="R124" s="48"/>
      <c r="S124" t="s">
        <v>1011</v>
      </c>
      <c r="U124">
        <v>40</v>
      </c>
      <c r="Y124" t="s">
        <v>1011</v>
      </c>
      <c r="AA124">
        <v>95500</v>
      </c>
    </row>
    <row r="125" spans="1:27" x14ac:dyDescent="0.3">
      <c r="A125" t="s">
        <v>521</v>
      </c>
      <c r="C125" t="s">
        <v>1010</v>
      </c>
      <c r="E125" t="s">
        <v>1009</v>
      </c>
      <c r="G125">
        <v>69</v>
      </c>
      <c r="I125" s="47">
        <v>21051</v>
      </c>
      <c r="J125" s="47"/>
      <c r="K125" t="s">
        <v>569</v>
      </c>
      <c r="M125" t="s">
        <v>558</v>
      </c>
      <c r="O125" t="s">
        <v>1008</v>
      </c>
      <c r="Q125">
        <v>40500</v>
      </c>
      <c r="S125" t="s">
        <v>14</v>
      </c>
      <c r="U125">
        <v>43</v>
      </c>
      <c r="Y125" t="s">
        <v>14</v>
      </c>
      <c r="AA125">
        <v>24500</v>
      </c>
    </row>
    <row r="126" spans="1:27" x14ac:dyDescent="0.3">
      <c r="A126" t="s">
        <v>521</v>
      </c>
      <c r="C126" t="s">
        <v>1007</v>
      </c>
      <c r="E126" t="s">
        <v>1006</v>
      </c>
      <c r="G126">
        <v>67</v>
      </c>
      <c r="I126" s="47">
        <v>21624</v>
      </c>
      <c r="J126" s="47"/>
      <c r="K126" t="s">
        <v>577</v>
      </c>
      <c r="M126" t="s">
        <v>17</v>
      </c>
      <c r="O126">
        <v>8500</v>
      </c>
      <c r="Q126" s="48">
        <v>39500</v>
      </c>
      <c r="R126" s="48"/>
      <c r="S126" t="s">
        <v>13</v>
      </c>
      <c r="Y126" t="s">
        <v>13</v>
      </c>
      <c r="AA126">
        <v>42000</v>
      </c>
    </row>
    <row r="127" spans="1:27" x14ac:dyDescent="0.3">
      <c r="A127" t="s">
        <v>521</v>
      </c>
      <c r="C127" t="s">
        <v>583</v>
      </c>
      <c r="E127" t="s">
        <v>582</v>
      </c>
      <c r="G127">
        <v>53</v>
      </c>
      <c r="I127" s="47">
        <v>26584</v>
      </c>
      <c r="J127" s="47"/>
      <c r="K127" t="s">
        <v>530</v>
      </c>
      <c r="M127" t="s">
        <v>576</v>
      </c>
      <c r="O127">
        <v>12200</v>
      </c>
      <c r="Q127" s="48">
        <v>79500</v>
      </c>
      <c r="R127" s="48"/>
      <c r="S127" t="s">
        <v>547</v>
      </c>
      <c r="U127">
        <v>45</v>
      </c>
      <c r="Y127" t="s">
        <v>547</v>
      </c>
      <c r="AA127">
        <v>57000</v>
      </c>
    </row>
    <row r="128" spans="1:27" x14ac:dyDescent="0.3">
      <c r="A128" t="s">
        <v>521</v>
      </c>
      <c r="C128" t="s">
        <v>1005</v>
      </c>
      <c r="E128" t="s">
        <v>1004</v>
      </c>
      <c r="G128">
        <v>55</v>
      </c>
      <c r="I128">
        <v>25880</v>
      </c>
      <c r="K128" t="s">
        <v>569</v>
      </c>
      <c r="M128" t="s">
        <v>558</v>
      </c>
      <c r="O128">
        <v>27500</v>
      </c>
      <c r="Q128">
        <v>14000</v>
      </c>
      <c r="S128" t="s">
        <v>14</v>
      </c>
      <c r="U128">
        <v>3</v>
      </c>
      <c r="Y128" t="s">
        <v>14</v>
      </c>
      <c r="AA128">
        <v>11500</v>
      </c>
    </row>
    <row r="129" spans="1:27" x14ac:dyDescent="0.3">
      <c r="A129" t="s">
        <v>521</v>
      </c>
      <c r="C129" t="s">
        <v>629</v>
      </c>
      <c r="E129">
        <v>8900</v>
      </c>
      <c r="I129" s="47">
        <v>33473</v>
      </c>
      <c r="J129" s="47"/>
      <c r="K129" t="s">
        <v>601</v>
      </c>
      <c r="M129" t="s">
        <v>600</v>
      </c>
      <c r="O129">
        <v>24000</v>
      </c>
      <c r="Q129">
        <v>0</v>
      </c>
      <c r="S129" t="s">
        <v>13</v>
      </c>
      <c r="U129">
        <v>3</v>
      </c>
      <c r="Y129" t="s">
        <v>13</v>
      </c>
      <c r="AA129">
        <v>60000</v>
      </c>
    </row>
    <row r="130" spans="1:27" x14ac:dyDescent="0.3">
      <c r="A130" t="s">
        <v>528</v>
      </c>
      <c r="C130" t="s">
        <v>1003</v>
      </c>
      <c r="E130">
        <v>8300</v>
      </c>
      <c r="G130">
        <v>31</v>
      </c>
      <c r="I130">
        <v>34828</v>
      </c>
      <c r="K130" t="s">
        <v>587</v>
      </c>
      <c r="M130" t="s">
        <v>586</v>
      </c>
      <c r="O130" s="46">
        <v>24900</v>
      </c>
      <c r="P130" s="46"/>
      <c r="Q130">
        <v>72000</v>
      </c>
      <c r="S130" t="s">
        <v>14</v>
      </c>
      <c r="U130">
        <v>35</v>
      </c>
      <c r="Y130" t="s">
        <v>14</v>
      </c>
      <c r="AA130">
        <v>79000</v>
      </c>
    </row>
    <row r="131" spans="1:27" x14ac:dyDescent="0.3">
      <c r="A131" t="s">
        <v>521</v>
      </c>
      <c r="C131" t="s">
        <v>1002</v>
      </c>
      <c r="E131">
        <v>3800</v>
      </c>
      <c r="G131">
        <v>41</v>
      </c>
      <c r="I131" s="47">
        <v>30992</v>
      </c>
      <c r="J131" s="47"/>
      <c r="K131" t="s">
        <v>573</v>
      </c>
      <c r="M131" t="s">
        <v>33</v>
      </c>
      <c r="O131" s="46">
        <v>28600</v>
      </c>
      <c r="P131" s="46"/>
      <c r="Q131" s="48">
        <v>67500</v>
      </c>
      <c r="R131" s="48"/>
      <c r="S131" t="s">
        <v>14</v>
      </c>
      <c r="U131">
        <v>39</v>
      </c>
      <c r="Y131" t="s">
        <v>14</v>
      </c>
      <c r="AA131">
        <v>22000</v>
      </c>
    </row>
    <row r="132" spans="1:27" x14ac:dyDescent="0.3">
      <c r="A132" t="s">
        <v>521</v>
      </c>
      <c r="C132" t="s">
        <v>646</v>
      </c>
      <c r="E132" t="s">
        <v>645</v>
      </c>
      <c r="G132">
        <v>56</v>
      </c>
      <c r="I132">
        <v>25671</v>
      </c>
      <c r="K132" t="s">
        <v>543</v>
      </c>
      <c r="M132" t="s">
        <v>597</v>
      </c>
      <c r="O132">
        <v>28300</v>
      </c>
      <c r="Q132">
        <v>56000</v>
      </c>
      <c r="S132" t="s">
        <v>14</v>
      </c>
      <c r="U132">
        <v>6</v>
      </c>
      <c r="Y132" t="s">
        <v>14</v>
      </c>
      <c r="AA132">
        <v>77000</v>
      </c>
    </row>
    <row r="133" spans="1:27" x14ac:dyDescent="0.3">
      <c r="A133" t="s">
        <v>521</v>
      </c>
      <c r="C133" t="s">
        <v>1001</v>
      </c>
      <c r="E133">
        <v>37700</v>
      </c>
      <c r="G133">
        <v>23</v>
      </c>
      <c r="I133" s="47">
        <v>37566</v>
      </c>
      <c r="J133" s="47"/>
      <c r="K133" t="s">
        <v>533</v>
      </c>
      <c r="M133" t="s">
        <v>27</v>
      </c>
      <c r="O133">
        <v>2600</v>
      </c>
      <c r="Q133">
        <v>0</v>
      </c>
      <c r="S133" t="s">
        <v>13</v>
      </c>
      <c r="U133">
        <v>30</v>
      </c>
      <c r="Y133" t="s">
        <v>13</v>
      </c>
      <c r="AA133">
        <v>11000</v>
      </c>
    </row>
    <row r="134" spans="1:27" x14ac:dyDescent="0.3">
      <c r="A134" t="s">
        <v>521</v>
      </c>
      <c r="C134" t="s">
        <v>1000</v>
      </c>
      <c r="E134" t="s">
        <v>999</v>
      </c>
      <c r="G134">
        <v>25</v>
      </c>
      <c r="I134">
        <v>37137</v>
      </c>
      <c r="K134" t="s">
        <v>526</v>
      </c>
      <c r="M134" t="s">
        <v>525</v>
      </c>
      <c r="Q134" s="46">
        <v>21000</v>
      </c>
      <c r="R134" s="46"/>
      <c r="S134" t="s">
        <v>14</v>
      </c>
      <c r="U134">
        <v>34</v>
      </c>
      <c r="Y134" t="s">
        <v>14</v>
      </c>
      <c r="AA134">
        <v>7500</v>
      </c>
    </row>
    <row r="135" spans="1:27" x14ac:dyDescent="0.3">
      <c r="A135" t="s">
        <v>521</v>
      </c>
      <c r="C135" t="s">
        <v>34</v>
      </c>
      <c r="E135" t="s">
        <v>998</v>
      </c>
      <c r="G135">
        <v>57</v>
      </c>
      <c r="I135">
        <v>25199</v>
      </c>
      <c r="K135" t="s">
        <v>619</v>
      </c>
      <c r="M135" t="s">
        <v>23</v>
      </c>
      <c r="O135" s="48">
        <v>20700</v>
      </c>
      <c r="P135" s="48"/>
      <c r="Q135">
        <v>64500</v>
      </c>
      <c r="S135" t="s">
        <v>14</v>
      </c>
      <c r="U135" t="s">
        <v>997</v>
      </c>
      <c r="Y135" t="s">
        <v>14</v>
      </c>
      <c r="AA135">
        <v>54500</v>
      </c>
    </row>
    <row r="136" spans="1:27" x14ac:dyDescent="0.3">
      <c r="A136" t="s">
        <v>734</v>
      </c>
      <c r="C136" t="s">
        <v>996</v>
      </c>
      <c r="E136" t="s">
        <v>995</v>
      </c>
      <c r="G136">
        <v>73</v>
      </c>
      <c r="I136" s="47">
        <v>19314</v>
      </c>
      <c r="J136" s="47"/>
      <c r="K136" t="s">
        <v>625</v>
      </c>
      <c r="M136" t="s">
        <v>680</v>
      </c>
      <c r="O136">
        <v>6100</v>
      </c>
      <c r="Q136" t="s">
        <v>548</v>
      </c>
      <c r="S136" t="s">
        <v>14</v>
      </c>
      <c r="U136">
        <v>9</v>
      </c>
      <c r="Y136" t="s">
        <v>14</v>
      </c>
      <c r="AA136">
        <v>24500</v>
      </c>
    </row>
    <row r="137" spans="1:27" x14ac:dyDescent="0.3">
      <c r="A137" t="s">
        <v>521</v>
      </c>
      <c r="C137" t="s">
        <v>994</v>
      </c>
      <c r="E137">
        <v>37000</v>
      </c>
      <c r="G137">
        <v>24</v>
      </c>
      <c r="I137" s="47">
        <v>37290</v>
      </c>
      <c r="J137" s="47"/>
      <c r="K137" t="s">
        <v>518</v>
      </c>
      <c r="M137" t="s">
        <v>517</v>
      </c>
      <c r="O137" s="48">
        <v>6400</v>
      </c>
      <c r="P137" s="48"/>
      <c r="Q137" s="46">
        <v>41000</v>
      </c>
      <c r="R137" s="46"/>
      <c r="S137" t="s">
        <v>14</v>
      </c>
      <c r="U137">
        <v>22</v>
      </c>
      <c r="Y137" t="s">
        <v>14</v>
      </c>
      <c r="AA137">
        <v>74500</v>
      </c>
    </row>
    <row r="138" spans="1:27" x14ac:dyDescent="0.3">
      <c r="A138" t="s">
        <v>171</v>
      </c>
      <c r="C138" t="s">
        <v>993</v>
      </c>
      <c r="E138" t="s">
        <v>992</v>
      </c>
      <c r="G138">
        <v>47</v>
      </c>
      <c r="K138" t="s">
        <v>533</v>
      </c>
      <c r="O138" s="46">
        <v>11600</v>
      </c>
      <c r="P138" s="46"/>
      <c r="Q138" s="46">
        <v>63500</v>
      </c>
      <c r="R138" s="46"/>
      <c r="S138">
        <v>0</v>
      </c>
      <c r="U138">
        <v>18</v>
      </c>
      <c r="Y138">
        <v>0</v>
      </c>
      <c r="AA138">
        <v>3000</v>
      </c>
    </row>
    <row r="139" spans="1:27" x14ac:dyDescent="0.3">
      <c r="A139" t="s">
        <v>528</v>
      </c>
      <c r="C139" t="s">
        <v>35</v>
      </c>
      <c r="E139" t="s">
        <v>991</v>
      </c>
      <c r="G139">
        <v>52</v>
      </c>
      <c r="I139">
        <v>27186</v>
      </c>
      <c r="K139" t="s">
        <v>569</v>
      </c>
      <c r="M139" t="s">
        <v>621</v>
      </c>
      <c r="O139">
        <v>6400</v>
      </c>
      <c r="Q139">
        <v>37000</v>
      </c>
      <c r="S139" t="s">
        <v>14</v>
      </c>
      <c r="U139">
        <v>1</v>
      </c>
      <c r="Y139" t="s">
        <v>14</v>
      </c>
      <c r="AA139">
        <v>87000</v>
      </c>
    </row>
    <row r="140" spans="1:27" x14ac:dyDescent="0.3">
      <c r="A140" t="s">
        <v>528</v>
      </c>
      <c r="C140" t="s">
        <v>990</v>
      </c>
      <c r="E140">
        <v>26700</v>
      </c>
      <c r="G140">
        <v>54</v>
      </c>
      <c r="I140">
        <v>26453</v>
      </c>
      <c r="K140" t="s">
        <v>601</v>
      </c>
      <c r="M140" t="s">
        <v>600</v>
      </c>
      <c r="O140">
        <v>3900</v>
      </c>
      <c r="Q140">
        <v>80000</v>
      </c>
      <c r="S140" t="s">
        <v>14</v>
      </c>
      <c r="U140" t="s">
        <v>810</v>
      </c>
      <c r="Y140" t="s">
        <v>14</v>
      </c>
      <c r="AA140">
        <v>30000</v>
      </c>
    </row>
    <row r="141" spans="1:27" x14ac:dyDescent="0.3">
      <c r="A141" t="s">
        <v>521</v>
      </c>
      <c r="C141" t="s">
        <v>989</v>
      </c>
      <c r="E141" t="s">
        <v>988</v>
      </c>
      <c r="G141">
        <v>45</v>
      </c>
      <c r="I141" s="47">
        <v>29598</v>
      </c>
      <c r="J141" s="47"/>
      <c r="K141" t="s">
        <v>573</v>
      </c>
      <c r="M141" t="s">
        <v>612</v>
      </c>
      <c r="O141">
        <v>22800</v>
      </c>
      <c r="S141" t="s">
        <v>14</v>
      </c>
      <c r="U141">
        <v>10</v>
      </c>
      <c r="Y141" t="s">
        <v>14</v>
      </c>
      <c r="AA141">
        <v>31000</v>
      </c>
    </row>
    <row r="142" spans="1:27" x14ac:dyDescent="0.3">
      <c r="A142" t="s">
        <v>521</v>
      </c>
      <c r="C142" t="s">
        <v>987</v>
      </c>
      <c r="E142">
        <v>35200</v>
      </c>
      <c r="G142">
        <v>65</v>
      </c>
      <c r="I142">
        <v>22337</v>
      </c>
      <c r="K142" t="s">
        <v>641</v>
      </c>
      <c r="M142" t="s">
        <v>576</v>
      </c>
      <c r="O142">
        <v>3800</v>
      </c>
      <c r="Q142">
        <v>49500</v>
      </c>
      <c r="S142" t="s">
        <v>14</v>
      </c>
      <c r="U142">
        <v>16</v>
      </c>
      <c r="Y142" t="s">
        <v>14</v>
      </c>
      <c r="AA142">
        <v>15500</v>
      </c>
    </row>
    <row r="143" spans="1:27" x14ac:dyDescent="0.3">
      <c r="A143" t="s">
        <v>521</v>
      </c>
      <c r="C143" t="s">
        <v>650</v>
      </c>
      <c r="E143" t="s">
        <v>986</v>
      </c>
      <c r="G143">
        <v>66</v>
      </c>
      <c r="I143">
        <v>22151</v>
      </c>
      <c r="K143" t="s">
        <v>619</v>
      </c>
      <c r="M143" t="s">
        <v>550</v>
      </c>
      <c r="O143">
        <v>11800</v>
      </c>
      <c r="Q143" s="48">
        <v>2000</v>
      </c>
      <c r="R143" s="48"/>
      <c r="S143" t="s">
        <v>13</v>
      </c>
      <c r="U143">
        <v>23</v>
      </c>
      <c r="Y143" t="s">
        <v>13</v>
      </c>
      <c r="AA143">
        <v>72500</v>
      </c>
    </row>
    <row r="144" spans="1:27" x14ac:dyDescent="0.3">
      <c r="A144" t="s">
        <v>528</v>
      </c>
      <c r="C144" t="s">
        <v>985</v>
      </c>
      <c r="E144" t="s">
        <v>984</v>
      </c>
      <c r="G144">
        <v>29</v>
      </c>
      <c r="I144">
        <v>35607</v>
      </c>
      <c r="K144" t="s">
        <v>567</v>
      </c>
      <c r="M144" t="s">
        <v>576</v>
      </c>
      <c r="O144">
        <v>13800</v>
      </c>
      <c r="Q144">
        <v>41500</v>
      </c>
      <c r="S144" t="s">
        <v>14</v>
      </c>
      <c r="U144">
        <v>34</v>
      </c>
      <c r="Y144" t="s">
        <v>14</v>
      </c>
      <c r="AA144">
        <v>66000</v>
      </c>
    </row>
    <row r="145" spans="1:27" x14ac:dyDescent="0.3">
      <c r="A145" t="s">
        <v>521</v>
      </c>
      <c r="C145" t="s">
        <v>983</v>
      </c>
      <c r="E145" t="s">
        <v>982</v>
      </c>
      <c r="G145">
        <v>22</v>
      </c>
      <c r="I145" s="47">
        <v>37904</v>
      </c>
      <c r="J145" s="47"/>
      <c r="K145" t="s">
        <v>569</v>
      </c>
      <c r="M145" t="s">
        <v>558</v>
      </c>
      <c r="O145">
        <v>2300</v>
      </c>
      <c r="Q145">
        <v>0</v>
      </c>
      <c r="S145" t="s">
        <v>13</v>
      </c>
      <c r="U145" t="s">
        <v>981</v>
      </c>
      <c r="Y145" t="s">
        <v>13</v>
      </c>
      <c r="AA145">
        <v>51500</v>
      </c>
    </row>
    <row r="146" spans="1:27" x14ac:dyDescent="0.3">
      <c r="A146" t="s">
        <v>528</v>
      </c>
      <c r="C146" t="s">
        <v>980</v>
      </c>
      <c r="E146" t="s">
        <v>979</v>
      </c>
      <c r="G146">
        <v>29</v>
      </c>
      <c r="I146">
        <v>35598</v>
      </c>
      <c r="K146" t="s">
        <v>556</v>
      </c>
      <c r="M146" t="s">
        <v>556</v>
      </c>
      <c r="O146">
        <v>15500</v>
      </c>
      <c r="Q146">
        <v>75000</v>
      </c>
      <c r="S146" t="s">
        <v>695</v>
      </c>
      <c r="U146">
        <v>25</v>
      </c>
      <c r="Y146" t="s">
        <v>695</v>
      </c>
      <c r="AA146">
        <v>47000</v>
      </c>
    </row>
    <row r="147" spans="1:27" x14ac:dyDescent="0.3">
      <c r="A147" t="s">
        <v>521</v>
      </c>
      <c r="C147" t="s">
        <v>978</v>
      </c>
      <c r="E147" t="s">
        <v>977</v>
      </c>
      <c r="G147">
        <v>72</v>
      </c>
      <c r="I147">
        <v>19839</v>
      </c>
      <c r="K147" t="s">
        <v>526</v>
      </c>
      <c r="M147" t="s">
        <v>36</v>
      </c>
      <c r="O147" s="48">
        <v>3900</v>
      </c>
      <c r="P147" s="48"/>
      <c r="Q147">
        <v>27000</v>
      </c>
      <c r="S147" t="s">
        <v>14</v>
      </c>
      <c r="U147">
        <v>33</v>
      </c>
      <c r="Y147" t="s">
        <v>14</v>
      </c>
      <c r="AA147">
        <v>2000</v>
      </c>
    </row>
    <row r="148" spans="1:27" x14ac:dyDescent="0.3">
      <c r="A148" t="s">
        <v>521</v>
      </c>
      <c r="C148" t="s">
        <v>976</v>
      </c>
      <c r="E148" t="s">
        <v>975</v>
      </c>
      <c r="G148">
        <v>58</v>
      </c>
      <c r="I148" s="47">
        <v>25066</v>
      </c>
      <c r="J148" s="47"/>
      <c r="K148" t="s">
        <v>518</v>
      </c>
      <c r="M148" t="s">
        <v>517</v>
      </c>
      <c r="O148" s="46">
        <v>4500</v>
      </c>
      <c r="P148" s="46"/>
      <c r="S148" t="s">
        <v>13</v>
      </c>
      <c r="U148">
        <v>31</v>
      </c>
      <c r="Y148" t="s">
        <v>13</v>
      </c>
      <c r="AA148">
        <v>97500</v>
      </c>
    </row>
    <row r="149" spans="1:27" x14ac:dyDescent="0.3">
      <c r="A149" t="s">
        <v>581</v>
      </c>
      <c r="C149" t="s">
        <v>974</v>
      </c>
      <c r="E149">
        <v>20900</v>
      </c>
      <c r="G149">
        <v>33</v>
      </c>
      <c r="I149">
        <v>34021</v>
      </c>
      <c r="K149" t="s">
        <v>569</v>
      </c>
      <c r="M149" t="s">
        <v>558</v>
      </c>
      <c r="Q149">
        <v>73500</v>
      </c>
      <c r="S149" t="s">
        <v>14</v>
      </c>
      <c r="U149">
        <v>33</v>
      </c>
      <c r="Y149" t="s">
        <v>14</v>
      </c>
      <c r="AA149">
        <v>95000</v>
      </c>
    </row>
    <row r="150" spans="1:27" x14ac:dyDescent="0.3">
      <c r="A150" t="s">
        <v>521</v>
      </c>
      <c r="C150" t="s">
        <v>634</v>
      </c>
      <c r="E150">
        <v>36900</v>
      </c>
      <c r="G150">
        <v>61</v>
      </c>
      <c r="I150">
        <v>23928</v>
      </c>
      <c r="K150" t="s">
        <v>559</v>
      </c>
      <c r="M150" t="s">
        <v>558</v>
      </c>
      <c r="O150">
        <v>22900</v>
      </c>
      <c r="Q150">
        <v>7500</v>
      </c>
      <c r="S150" t="s">
        <v>14</v>
      </c>
      <c r="U150">
        <v>12</v>
      </c>
      <c r="Y150" t="s">
        <v>14</v>
      </c>
      <c r="AA150">
        <v>73000</v>
      </c>
    </row>
    <row r="151" spans="1:27" x14ac:dyDescent="0.3">
      <c r="A151" t="s">
        <v>521</v>
      </c>
      <c r="C151" t="s">
        <v>694</v>
      </c>
      <c r="E151" t="s">
        <v>973</v>
      </c>
      <c r="G151">
        <v>73</v>
      </c>
      <c r="I151">
        <v>19363</v>
      </c>
      <c r="K151" t="s">
        <v>518</v>
      </c>
      <c r="M151" t="s">
        <v>550</v>
      </c>
      <c r="O151" t="s">
        <v>972</v>
      </c>
      <c r="Q151" s="48">
        <v>19000</v>
      </c>
      <c r="R151" s="48"/>
      <c r="S151" t="s">
        <v>14</v>
      </c>
      <c r="U151">
        <v>0</v>
      </c>
      <c r="Y151" t="s">
        <v>14</v>
      </c>
      <c r="AA151">
        <v>17000</v>
      </c>
    </row>
    <row r="152" spans="1:27" x14ac:dyDescent="0.3">
      <c r="A152" t="s">
        <v>906</v>
      </c>
      <c r="C152" t="s">
        <v>971</v>
      </c>
      <c r="E152">
        <v>6900</v>
      </c>
      <c r="G152">
        <v>51</v>
      </c>
      <c r="I152">
        <v>27590</v>
      </c>
      <c r="K152" t="s">
        <v>641</v>
      </c>
      <c r="M152" t="s">
        <v>576</v>
      </c>
      <c r="O152" s="46">
        <v>19400</v>
      </c>
      <c r="P152" s="46"/>
      <c r="Q152">
        <v>4000</v>
      </c>
      <c r="S152" t="s">
        <v>14</v>
      </c>
      <c r="U152">
        <v>30</v>
      </c>
      <c r="Y152" t="s">
        <v>14</v>
      </c>
      <c r="AA152">
        <v>38500</v>
      </c>
    </row>
    <row r="153" spans="1:27" x14ac:dyDescent="0.3">
      <c r="A153" t="s">
        <v>521</v>
      </c>
      <c r="C153" t="s">
        <v>970</v>
      </c>
      <c r="E153" t="s">
        <v>969</v>
      </c>
      <c r="G153">
        <v>43</v>
      </c>
      <c r="I153" s="47">
        <v>30309</v>
      </c>
      <c r="J153" s="47"/>
      <c r="K153" t="s">
        <v>601</v>
      </c>
      <c r="M153" t="s">
        <v>600</v>
      </c>
      <c r="O153" s="48">
        <v>18400</v>
      </c>
      <c r="P153" s="48"/>
      <c r="Q153">
        <v>62000</v>
      </c>
      <c r="S153" t="s">
        <v>14</v>
      </c>
      <c r="U153">
        <v>33</v>
      </c>
      <c r="Y153" t="s">
        <v>14</v>
      </c>
      <c r="AA153">
        <v>31000</v>
      </c>
    </row>
    <row r="154" spans="1:27" x14ac:dyDescent="0.3">
      <c r="A154" t="s">
        <v>528</v>
      </c>
      <c r="C154" t="s">
        <v>968</v>
      </c>
      <c r="E154" t="s">
        <v>967</v>
      </c>
      <c r="G154">
        <v>63</v>
      </c>
      <c r="I154">
        <v>23119</v>
      </c>
      <c r="K154" t="s">
        <v>526</v>
      </c>
      <c r="M154" t="s">
        <v>631</v>
      </c>
      <c r="O154">
        <v>9300</v>
      </c>
      <c r="Q154">
        <v>48500</v>
      </c>
      <c r="S154" t="s">
        <v>14</v>
      </c>
      <c r="U154">
        <v>28</v>
      </c>
      <c r="Y154" t="s">
        <v>14</v>
      </c>
      <c r="AA154">
        <v>20000</v>
      </c>
    </row>
    <row r="155" spans="1:27" x14ac:dyDescent="0.3">
      <c r="A155" t="s">
        <v>528</v>
      </c>
      <c r="C155" t="s">
        <v>668</v>
      </c>
      <c r="E155" t="s">
        <v>667</v>
      </c>
      <c r="G155">
        <v>63</v>
      </c>
      <c r="I155" s="47">
        <v>22924</v>
      </c>
      <c r="J155" s="47"/>
      <c r="K155" t="s">
        <v>533</v>
      </c>
      <c r="M155" t="s">
        <v>27</v>
      </c>
      <c r="O155">
        <v>29000</v>
      </c>
      <c r="Q155" s="48">
        <v>36500</v>
      </c>
      <c r="R155" s="48"/>
      <c r="S155" t="s">
        <v>14</v>
      </c>
      <c r="U155">
        <v>38</v>
      </c>
      <c r="Y155" t="s">
        <v>14</v>
      </c>
      <c r="AA155">
        <v>47000</v>
      </c>
    </row>
    <row r="156" spans="1:27" x14ac:dyDescent="0.3">
      <c r="A156" t="s">
        <v>528</v>
      </c>
      <c r="C156" t="s">
        <v>966</v>
      </c>
      <c r="E156">
        <v>23700</v>
      </c>
      <c r="I156">
        <v>19234</v>
      </c>
      <c r="K156" t="s">
        <v>518</v>
      </c>
      <c r="M156" t="s">
        <v>550</v>
      </c>
      <c r="O156" s="48">
        <v>8900</v>
      </c>
      <c r="P156" s="48"/>
      <c r="Q156" s="48">
        <v>4000</v>
      </c>
      <c r="R156" s="48"/>
      <c r="S156" t="s">
        <v>14</v>
      </c>
      <c r="U156">
        <v>38</v>
      </c>
      <c r="Y156" t="s">
        <v>14</v>
      </c>
      <c r="AA156">
        <v>22500</v>
      </c>
    </row>
    <row r="157" spans="1:27" x14ac:dyDescent="0.3">
      <c r="C157" t="s">
        <v>965</v>
      </c>
      <c r="E157" t="s">
        <v>964</v>
      </c>
      <c r="G157">
        <v>61</v>
      </c>
      <c r="I157">
        <v>23813</v>
      </c>
      <c r="K157" t="s">
        <v>533</v>
      </c>
      <c r="M157" t="s">
        <v>536</v>
      </c>
      <c r="O157" s="48">
        <v>26300</v>
      </c>
      <c r="P157" s="48"/>
      <c r="Q157">
        <v>40000</v>
      </c>
      <c r="S157" t="s">
        <v>13</v>
      </c>
      <c r="U157" t="s">
        <v>963</v>
      </c>
      <c r="Y157" t="s">
        <v>13</v>
      </c>
      <c r="AA157">
        <v>16500</v>
      </c>
    </row>
    <row r="158" spans="1:27" x14ac:dyDescent="0.3">
      <c r="A158" t="s">
        <v>521</v>
      </c>
      <c r="C158" t="s">
        <v>962</v>
      </c>
      <c r="E158" t="s">
        <v>961</v>
      </c>
      <c r="G158">
        <v>53</v>
      </c>
      <c r="I158" s="47">
        <v>26631</v>
      </c>
      <c r="J158" s="47"/>
      <c r="K158" t="s">
        <v>601</v>
      </c>
      <c r="M158" t="s">
        <v>686</v>
      </c>
      <c r="O158" s="48">
        <v>22700</v>
      </c>
      <c r="P158" s="48"/>
      <c r="Q158">
        <v>42500</v>
      </c>
      <c r="S158" t="s">
        <v>13</v>
      </c>
      <c r="U158">
        <v>25</v>
      </c>
      <c r="Y158" t="s">
        <v>13</v>
      </c>
      <c r="AA158">
        <v>86000</v>
      </c>
    </row>
    <row r="159" spans="1:27" x14ac:dyDescent="0.3">
      <c r="A159" t="s">
        <v>521</v>
      </c>
      <c r="C159" t="s">
        <v>960</v>
      </c>
      <c r="E159" t="s">
        <v>959</v>
      </c>
      <c r="G159">
        <v>48</v>
      </c>
      <c r="I159">
        <v>28673</v>
      </c>
      <c r="K159" t="s">
        <v>601</v>
      </c>
      <c r="M159" t="s">
        <v>686</v>
      </c>
      <c r="O159" s="48">
        <v>2300</v>
      </c>
      <c r="P159" s="48"/>
      <c r="Q159">
        <v>26500</v>
      </c>
      <c r="S159" t="s">
        <v>562</v>
      </c>
      <c r="U159">
        <v>44</v>
      </c>
      <c r="Y159" t="s">
        <v>562</v>
      </c>
      <c r="AA159">
        <v>81000</v>
      </c>
    </row>
    <row r="160" spans="1:27" x14ac:dyDescent="0.3">
      <c r="A160" t="s">
        <v>528</v>
      </c>
      <c r="C160" t="s">
        <v>958</v>
      </c>
      <c r="E160" t="s">
        <v>957</v>
      </c>
      <c r="I160">
        <v>38001</v>
      </c>
      <c r="K160" t="s">
        <v>530</v>
      </c>
      <c r="M160" t="s">
        <v>17</v>
      </c>
      <c r="O160">
        <v>2100</v>
      </c>
      <c r="Q160">
        <v>79500</v>
      </c>
      <c r="S160" t="s">
        <v>13</v>
      </c>
      <c r="U160">
        <v>29</v>
      </c>
      <c r="Y160" t="s">
        <v>13</v>
      </c>
      <c r="AA160">
        <v>64000</v>
      </c>
    </row>
    <row r="161" spans="1:27" x14ac:dyDescent="0.3">
      <c r="A161" t="s">
        <v>528</v>
      </c>
      <c r="C161" t="s">
        <v>956</v>
      </c>
      <c r="E161" t="s">
        <v>955</v>
      </c>
      <c r="G161">
        <v>33</v>
      </c>
      <c r="I161" s="47">
        <v>33955</v>
      </c>
      <c r="J161" s="47"/>
      <c r="K161" t="s">
        <v>577</v>
      </c>
      <c r="M161" t="s">
        <v>576</v>
      </c>
      <c r="O161">
        <v>25700</v>
      </c>
      <c r="Q161">
        <v>35000</v>
      </c>
      <c r="S161" t="s">
        <v>14</v>
      </c>
      <c r="U161">
        <v>40</v>
      </c>
      <c r="Y161" t="s">
        <v>14</v>
      </c>
      <c r="AA161">
        <v>1000</v>
      </c>
    </row>
    <row r="162" spans="1:27" x14ac:dyDescent="0.3">
      <c r="A162" t="s">
        <v>528</v>
      </c>
      <c r="C162" t="s">
        <v>954</v>
      </c>
      <c r="E162">
        <v>27300</v>
      </c>
      <c r="G162">
        <v>66</v>
      </c>
      <c r="I162">
        <v>21873</v>
      </c>
      <c r="K162" t="s">
        <v>530</v>
      </c>
      <c r="M162" t="s">
        <v>576</v>
      </c>
      <c r="O162" s="48">
        <v>9900</v>
      </c>
      <c r="P162" s="48"/>
      <c r="Q162" t="s">
        <v>953</v>
      </c>
      <c r="S162" t="s">
        <v>14</v>
      </c>
      <c r="U162">
        <v>13</v>
      </c>
      <c r="Y162" t="s">
        <v>14</v>
      </c>
      <c r="AA162">
        <v>37000</v>
      </c>
    </row>
    <row r="163" spans="1:27" x14ac:dyDescent="0.3">
      <c r="A163" t="s">
        <v>581</v>
      </c>
      <c r="C163" t="s">
        <v>37</v>
      </c>
      <c r="E163">
        <v>33700</v>
      </c>
      <c r="G163">
        <v>44</v>
      </c>
      <c r="I163">
        <v>30167</v>
      </c>
      <c r="K163" t="s">
        <v>619</v>
      </c>
      <c r="O163">
        <v>5500</v>
      </c>
      <c r="Q163" s="48">
        <v>26000</v>
      </c>
      <c r="R163" s="48"/>
      <c r="S163" t="s">
        <v>14</v>
      </c>
      <c r="U163" t="s">
        <v>710</v>
      </c>
      <c r="Y163" t="s">
        <v>14</v>
      </c>
      <c r="AA163">
        <v>64000</v>
      </c>
    </row>
    <row r="164" spans="1:27" x14ac:dyDescent="0.3">
      <c r="A164" t="s">
        <v>528</v>
      </c>
      <c r="C164" t="s">
        <v>952</v>
      </c>
      <c r="E164" t="s">
        <v>951</v>
      </c>
      <c r="G164">
        <v>33</v>
      </c>
      <c r="I164" s="47">
        <v>34154</v>
      </c>
      <c r="J164" s="47"/>
      <c r="K164" t="s">
        <v>641</v>
      </c>
      <c r="M164" t="s">
        <v>576</v>
      </c>
      <c r="O164">
        <v>2400</v>
      </c>
      <c r="Q164" s="48">
        <v>78000</v>
      </c>
      <c r="R164" s="48"/>
      <c r="S164" t="s">
        <v>14</v>
      </c>
      <c r="U164">
        <v>6</v>
      </c>
      <c r="Y164" t="s">
        <v>14</v>
      </c>
      <c r="AA164">
        <v>28000</v>
      </c>
    </row>
    <row r="165" spans="1:27" x14ac:dyDescent="0.3">
      <c r="A165" t="s">
        <v>521</v>
      </c>
      <c r="C165" t="s">
        <v>950</v>
      </c>
      <c r="E165" t="s">
        <v>949</v>
      </c>
      <c r="G165">
        <v>51</v>
      </c>
      <c r="I165" s="47">
        <v>27505</v>
      </c>
      <c r="J165" s="47"/>
      <c r="K165" t="s">
        <v>948</v>
      </c>
      <c r="O165" s="48">
        <v>7200</v>
      </c>
      <c r="P165" s="48"/>
      <c r="Q165" t="s">
        <v>947</v>
      </c>
      <c r="S165" t="s">
        <v>13</v>
      </c>
      <c r="U165">
        <v>40</v>
      </c>
      <c r="Y165" t="s">
        <v>13</v>
      </c>
      <c r="AA165">
        <v>5500</v>
      </c>
    </row>
    <row r="166" spans="1:27" x14ac:dyDescent="0.3">
      <c r="A166" t="s">
        <v>906</v>
      </c>
      <c r="C166" t="s">
        <v>946</v>
      </c>
      <c r="G166">
        <v>61</v>
      </c>
      <c r="I166">
        <v>23932</v>
      </c>
      <c r="K166" t="s">
        <v>595</v>
      </c>
      <c r="M166" t="s">
        <v>597</v>
      </c>
      <c r="O166">
        <v>4100</v>
      </c>
      <c r="Q166">
        <v>78000</v>
      </c>
      <c r="S166" t="s">
        <v>14</v>
      </c>
      <c r="U166">
        <v>25</v>
      </c>
      <c r="Y166" t="s">
        <v>14</v>
      </c>
      <c r="AA166">
        <v>48000</v>
      </c>
    </row>
    <row r="167" spans="1:27" x14ac:dyDescent="0.3">
      <c r="A167" t="s">
        <v>521</v>
      </c>
      <c r="C167" t="s">
        <v>945</v>
      </c>
      <c r="E167">
        <v>18800</v>
      </c>
      <c r="G167">
        <v>43</v>
      </c>
      <c r="I167">
        <v>30355</v>
      </c>
      <c r="K167" t="s">
        <v>567</v>
      </c>
      <c r="M167" t="s">
        <v>576</v>
      </c>
      <c r="O167" s="48">
        <v>21700</v>
      </c>
      <c r="P167" s="48"/>
      <c r="Q167">
        <v>31000</v>
      </c>
      <c r="S167" t="s">
        <v>14</v>
      </c>
      <c r="U167">
        <v>27</v>
      </c>
      <c r="Y167" t="s">
        <v>14</v>
      </c>
      <c r="AA167">
        <v>45500</v>
      </c>
    </row>
    <row r="168" spans="1:27" x14ac:dyDescent="0.3">
      <c r="A168" t="s">
        <v>521</v>
      </c>
      <c r="C168" t="s">
        <v>944</v>
      </c>
      <c r="E168" t="s">
        <v>943</v>
      </c>
      <c r="G168">
        <v>56</v>
      </c>
      <c r="I168" s="47">
        <v>25808</v>
      </c>
      <c r="J168" s="47"/>
      <c r="K168" t="s">
        <v>619</v>
      </c>
      <c r="M168" t="s">
        <v>550</v>
      </c>
      <c r="O168">
        <v>5400</v>
      </c>
      <c r="Q168">
        <v>61000</v>
      </c>
      <c r="S168" t="s">
        <v>14</v>
      </c>
      <c r="U168">
        <v>12</v>
      </c>
      <c r="Y168" t="s">
        <v>14</v>
      </c>
      <c r="AA168">
        <v>96500</v>
      </c>
    </row>
    <row r="169" spans="1:27" x14ac:dyDescent="0.3">
      <c r="A169" t="s">
        <v>171</v>
      </c>
      <c r="C169" t="s">
        <v>942</v>
      </c>
      <c r="E169">
        <v>10200</v>
      </c>
      <c r="G169">
        <v>35</v>
      </c>
      <c r="I169" s="47">
        <v>33444</v>
      </c>
      <c r="J169" s="47"/>
      <c r="K169" t="s">
        <v>625</v>
      </c>
      <c r="M169" t="s">
        <v>586</v>
      </c>
      <c r="O169" s="46">
        <v>8400</v>
      </c>
      <c r="P169" s="46"/>
      <c r="Q169">
        <v>62500</v>
      </c>
      <c r="S169" t="s">
        <v>14</v>
      </c>
      <c r="U169">
        <v>31</v>
      </c>
      <c r="Y169" t="s">
        <v>14</v>
      </c>
      <c r="AA169">
        <v>83500</v>
      </c>
    </row>
    <row r="170" spans="1:27" x14ac:dyDescent="0.3">
      <c r="A170" t="s">
        <v>528</v>
      </c>
      <c r="C170" t="s">
        <v>941</v>
      </c>
      <c r="E170" t="s">
        <v>940</v>
      </c>
      <c r="G170">
        <v>44</v>
      </c>
      <c r="I170">
        <v>29948</v>
      </c>
      <c r="K170" t="s">
        <v>556</v>
      </c>
      <c r="M170" t="s">
        <v>556</v>
      </c>
      <c r="Q170">
        <v>0</v>
      </c>
      <c r="S170" t="s">
        <v>14</v>
      </c>
      <c r="U170">
        <v>4</v>
      </c>
      <c r="Y170" t="s">
        <v>14</v>
      </c>
      <c r="AA170">
        <v>80000</v>
      </c>
    </row>
    <row r="171" spans="1:27" x14ac:dyDescent="0.3">
      <c r="A171" t="s">
        <v>528</v>
      </c>
      <c r="C171" t="s">
        <v>939</v>
      </c>
      <c r="E171" t="s">
        <v>938</v>
      </c>
      <c r="G171">
        <v>31</v>
      </c>
      <c r="I171" s="47">
        <v>34738</v>
      </c>
      <c r="J171" s="47"/>
      <c r="K171" t="s">
        <v>619</v>
      </c>
      <c r="M171" t="s">
        <v>550</v>
      </c>
      <c r="O171">
        <v>22600</v>
      </c>
      <c r="Q171">
        <v>58000</v>
      </c>
      <c r="S171" t="s">
        <v>547</v>
      </c>
      <c r="U171" t="s">
        <v>937</v>
      </c>
      <c r="Y171" t="s">
        <v>547</v>
      </c>
      <c r="AA171">
        <v>26500</v>
      </c>
    </row>
    <row r="172" spans="1:27" x14ac:dyDescent="0.3">
      <c r="A172" t="s">
        <v>528</v>
      </c>
      <c r="C172" t="s">
        <v>936</v>
      </c>
      <c r="E172">
        <v>4000</v>
      </c>
      <c r="G172">
        <v>48</v>
      </c>
      <c r="I172" s="47">
        <v>28663</v>
      </c>
      <c r="J172" s="47"/>
      <c r="K172" t="s">
        <v>587</v>
      </c>
      <c r="M172" t="s">
        <v>586</v>
      </c>
      <c r="O172">
        <v>24700</v>
      </c>
      <c r="Q172">
        <v>30500</v>
      </c>
      <c r="S172" t="s">
        <v>14</v>
      </c>
      <c r="U172">
        <v>34</v>
      </c>
      <c r="Y172" t="s">
        <v>14</v>
      </c>
      <c r="AA172">
        <v>87500</v>
      </c>
    </row>
    <row r="173" spans="1:27" x14ac:dyDescent="0.3">
      <c r="A173" t="s">
        <v>528</v>
      </c>
      <c r="C173" t="s">
        <v>935</v>
      </c>
      <c r="E173" t="s">
        <v>934</v>
      </c>
      <c r="G173">
        <v>30</v>
      </c>
      <c r="I173">
        <v>35213</v>
      </c>
      <c r="K173" t="s">
        <v>933</v>
      </c>
      <c r="O173">
        <v>3900</v>
      </c>
      <c r="Q173">
        <v>45000</v>
      </c>
      <c r="S173" t="s">
        <v>14</v>
      </c>
      <c r="U173">
        <v>34</v>
      </c>
      <c r="Y173" t="s">
        <v>14</v>
      </c>
      <c r="AA173">
        <v>41500</v>
      </c>
    </row>
    <row r="174" spans="1:27" x14ac:dyDescent="0.3">
      <c r="A174" t="s">
        <v>528</v>
      </c>
      <c r="C174" t="s">
        <v>932</v>
      </c>
      <c r="E174" t="s">
        <v>931</v>
      </c>
      <c r="G174">
        <v>21</v>
      </c>
      <c r="I174" s="47">
        <v>38328</v>
      </c>
      <c r="J174" s="47"/>
      <c r="K174" t="s">
        <v>564</v>
      </c>
      <c r="M174" t="s">
        <v>28</v>
      </c>
      <c r="O174">
        <v>4400</v>
      </c>
      <c r="Q174">
        <v>23500</v>
      </c>
      <c r="S174" t="s">
        <v>13</v>
      </c>
      <c r="U174">
        <v>31</v>
      </c>
      <c r="Y174" t="s">
        <v>13</v>
      </c>
      <c r="AA174">
        <v>91000</v>
      </c>
    </row>
    <row r="175" spans="1:27" x14ac:dyDescent="0.3">
      <c r="A175" t="s">
        <v>521</v>
      </c>
      <c r="C175" t="s">
        <v>38</v>
      </c>
      <c r="E175">
        <v>30000</v>
      </c>
      <c r="G175">
        <v>48</v>
      </c>
      <c r="I175">
        <v>28509</v>
      </c>
      <c r="K175" t="s">
        <v>543</v>
      </c>
      <c r="M175" t="s">
        <v>16</v>
      </c>
      <c r="O175" t="s">
        <v>930</v>
      </c>
      <c r="Q175" s="48">
        <v>9000</v>
      </c>
      <c r="R175" s="48"/>
      <c r="S175">
        <v>0</v>
      </c>
      <c r="U175">
        <v>28</v>
      </c>
      <c r="Y175">
        <v>0</v>
      </c>
      <c r="AA175">
        <v>80000</v>
      </c>
    </row>
    <row r="176" spans="1:27" x14ac:dyDescent="0.3">
      <c r="A176" t="s">
        <v>521</v>
      </c>
      <c r="C176" t="s">
        <v>704</v>
      </c>
      <c r="E176" t="s">
        <v>929</v>
      </c>
      <c r="I176">
        <v>25925</v>
      </c>
      <c r="K176" t="s">
        <v>564</v>
      </c>
      <c r="M176" t="s">
        <v>28</v>
      </c>
      <c r="O176" s="48">
        <v>20200</v>
      </c>
      <c r="P176" s="48"/>
      <c r="Q176">
        <v>61000</v>
      </c>
      <c r="S176" t="s">
        <v>14</v>
      </c>
      <c r="U176">
        <v>10</v>
      </c>
      <c r="Y176" t="s">
        <v>14</v>
      </c>
      <c r="AA176">
        <v>6500</v>
      </c>
    </row>
    <row r="177" spans="1:27" x14ac:dyDescent="0.3">
      <c r="C177" t="s">
        <v>928</v>
      </c>
      <c r="E177" t="s">
        <v>927</v>
      </c>
      <c r="G177">
        <v>56</v>
      </c>
      <c r="I177" s="47">
        <v>25705</v>
      </c>
      <c r="J177" s="47"/>
      <c r="K177" t="s">
        <v>587</v>
      </c>
      <c r="M177" t="s">
        <v>586</v>
      </c>
      <c r="O177" s="48">
        <v>11100</v>
      </c>
      <c r="P177" s="48"/>
      <c r="Q177" s="48">
        <v>13000</v>
      </c>
      <c r="R177" s="48"/>
      <c r="S177" t="s">
        <v>14</v>
      </c>
      <c r="U177">
        <v>38</v>
      </c>
      <c r="Y177" t="s">
        <v>14</v>
      </c>
      <c r="AA177">
        <v>88000</v>
      </c>
    </row>
    <row r="178" spans="1:27" x14ac:dyDescent="0.3">
      <c r="A178" t="s">
        <v>521</v>
      </c>
      <c r="C178" t="s">
        <v>926</v>
      </c>
      <c r="E178" t="s">
        <v>925</v>
      </c>
      <c r="G178">
        <v>62</v>
      </c>
      <c r="I178" s="47">
        <v>23337</v>
      </c>
      <c r="J178" s="47"/>
      <c r="K178" t="s">
        <v>625</v>
      </c>
      <c r="M178" t="s">
        <v>586</v>
      </c>
      <c r="O178">
        <v>11900</v>
      </c>
      <c r="Q178" s="46">
        <v>58500</v>
      </c>
      <c r="R178" s="46"/>
      <c r="S178" t="s">
        <v>14</v>
      </c>
      <c r="U178">
        <v>37</v>
      </c>
      <c r="Y178" t="s">
        <v>14</v>
      </c>
      <c r="AA178">
        <v>48000</v>
      </c>
    </row>
    <row r="179" spans="1:27" x14ac:dyDescent="0.3">
      <c r="A179" t="s">
        <v>521</v>
      </c>
      <c r="C179" t="s">
        <v>924</v>
      </c>
      <c r="E179" t="s">
        <v>923</v>
      </c>
      <c r="G179">
        <v>26</v>
      </c>
      <c r="I179">
        <v>36619</v>
      </c>
      <c r="K179" t="s">
        <v>543</v>
      </c>
      <c r="M179" t="s">
        <v>597</v>
      </c>
      <c r="O179" t="s">
        <v>922</v>
      </c>
      <c r="Q179">
        <v>42500</v>
      </c>
      <c r="S179" t="s">
        <v>13</v>
      </c>
      <c r="U179">
        <v>29</v>
      </c>
      <c r="Y179" t="s">
        <v>13</v>
      </c>
      <c r="AA179">
        <v>66000</v>
      </c>
    </row>
    <row r="180" spans="1:27" x14ac:dyDescent="0.3">
      <c r="A180" t="s">
        <v>521</v>
      </c>
      <c r="C180" t="s">
        <v>921</v>
      </c>
      <c r="E180" t="s">
        <v>920</v>
      </c>
      <c r="G180">
        <v>30</v>
      </c>
      <c r="I180" s="47">
        <v>35109</v>
      </c>
      <c r="J180" s="47"/>
      <c r="K180" t="s">
        <v>569</v>
      </c>
      <c r="M180" t="s">
        <v>15</v>
      </c>
      <c r="O180">
        <v>2600</v>
      </c>
      <c r="Q180">
        <v>62000</v>
      </c>
      <c r="S180" t="s">
        <v>14</v>
      </c>
      <c r="U180">
        <v>22</v>
      </c>
      <c r="Y180" t="s">
        <v>14</v>
      </c>
      <c r="AA180">
        <v>62000</v>
      </c>
    </row>
    <row r="181" spans="1:27" x14ac:dyDescent="0.3">
      <c r="A181" t="s">
        <v>521</v>
      </c>
      <c r="C181" t="s">
        <v>919</v>
      </c>
      <c r="E181" t="s">
        <v>918</v>
      </c>
      <c r="I181" s="47">
        <v>19168</v>
      </c>
      <c r="J181" s="47"/>
      <c r="K181" t="s">
        <v>564</v>
      </c>
      <c r="M181" t="s">
        <v>563</v>
      </c>
      <c r="O181">
        <v>25000</v>
      </c>
      <c r="Q181">
        <v>0</v>
      </c>
      <c r="S181" t="s">
        <v>14</v>
      </c>
      <c r="U181">
        <v>3</v>
      </c>
      <c r="Y181" t="s">
        <v>14</v>
      </c>
      <c r="AA181">
        <v>2500</v>
      </c>
    </row>
    <row r="182" spans="1:27" x14ac:dyDescent="0.3">
      <c r="A182" t="s">
        <v>528</v>
      </c>
      <c r="C182" t="s">
        <v>39</v>
      </c>
      <c r="E182" t="s">
        <v>917</v>
      </c>
      <c r="G182">
        <v>65</v>
      </c>
      <c r="I182">
        <v>22205</v>
      </c>
      <c r="K182" t="s">
        <v>641</v>
      </c>
      <c r="M182" t="s">
        <v>576</v>
      </c>
      <c r="O182">
        <v>19800</v>
      </c>
      <c r="Q182" s="46">
        <v>78500</v>
      </c>
      <c r="R182" s="46"/>
      <c r="S182" t="s">
        <v>14</v>
      </c>
      <c r="U182">
        <v>34</v>
      </c>
      <c r="Y182" t="s">
        <v>14</v>
      </c>
      <c r="AA182">
        <v>23000</v>
      </c>
    </row>
    <row r="183" spans="1:27" x14ac:dyDescent="0.3">
      <c r="A183" t="s">
        <v>528</v>
      </c>
      <c r="C183" t="s">
        <v>916</v>
      </c>
      <c r="E183" t="s">
        <v>915</v>
      </c>
      <c r="G183">
        <v>58</v>
      </c>
      <c r="I183" s="47">
        <v>24726</v>
      </c>
      <c r="J183" s="47"/>
      <c r="K183" t="s">
        <v>539</v>
      </c>
      <c r="M183" t="s">
        <v>536</v>
      </c>
      <c r="O183" t="s">
        <v>914</v>
      </c>
      <c r="Q183">
        <v>40000</v>
      </c>
      <c r="S183" t="s">
        <v>14</v>
      </c>
      <c r="U183">
        <v>16</v>
      </c>
      <c r="Y183" t="s">
        <v>14</v>
      </c>
      <c r="AA183">
        <v>98500</v>
      </c>
    </row>
    <row r="184" spans="1:27" x14ac:dyDescent="0.3">
      <c r="A184" t="s">
        <v>521</v>
      </c>
      <c r="C184" t="s">
        <v>913</v>
      </c>
      <c r="E184" t="s">
        <v>912</v>
      </c>
      <c r="G184">
        <v>45</v>
      </c>
      <c r="I184">
        <v>29769</v>
      </c>
      <c r="K184" t="s">
        <v>569</v>
      </c>
      <c r="M184" t="s">
        <v>621</v>
      </c>
      <c r="O184">
        <v>24400</v>
      </c>
      <c r="Q184" s="48">
        <v>7500</v>
      </c>
      <c r="R184" s="48"/>
      <c r="S184" t="s">
        <v>547</v>
      </c>
      <c r="U184">
        <v>13</v>
      </c>
      <c r="Y184" t="s">
        <v>547</v>
      </c>
      <c r="AA184">
        <v>95000</v>
      </c>
    </row>
    <row r="185" spans="1:27" x14ac:dyDescent="0.3">
      <c r="A185" t="s">
        <v>521</v>
      </c>
      <c r="C185" t="s">
        <v>911</v>
      </c>
      <c r="E185">
        <v>34800</v>
      </c>
      <c r="G185">
        <v>26</v>
      </c>
      <c r="I185">
        <v>36596</v>
      </c>
      <c r="K185" t="s">
        <v>567</v>
      </c>
      <c r="M185" t="s">
        <v>566</v>
      </c>
      <c r="O185">
        <v>3500</v>
      </c>
      <c r="Q185">
        <v>50000</v>
      </c>
      <c r="S185">
        <v>0</v>
      </c>
      <c r="U185">
        <v>40</v>
      </c>
      <c r="Y185">
        <v>0</v>
      </c>
      <c r="AA185">
        <v>46500</v>
      </c>
    </row>
    <row r="186" spans="1:27" x14ac:dyDescent="0.3">
      <c r="A186" t="s">
        <v>521</v>
      </c>
      <c r="C186" t="s">
        <v>910</v>
      </c>
      <c r="E186" t="s">
        <v>909</v>
      </c>
      <c r="G186">
        <v>42</v>
      </c>
      <c r="I186">
        <v>30898</v>
      </c>
      <c r="K186" t="s">
        <v>573</v>
      </c>
      <c r="O186">
        <v>20800</v>
      </c>
      <c r="Q186" s="48">
        <v>54000</v>
      </c>
      <c r="R186" s="48"/>
      <c r="S186" t="s">
        <v>14</v>
      </c>
      <c r="U186">
        <v>4</v>
      </c>
      <c r="Y186" t="s">
        <v>14</v>
      </c>
      <c r="AA186">
        <v>73500</v>
      </c>
    </row>
    <row r="187" spans="1:27" x14ac:dyDescent="0.3">
      <c r="A187" t="s">
        <v>528</v>
      </c>
      <c r="C187" t="s">
        <v>908</v>
      </c>
      <c r="E187" t="s">
        <v>907</v>
      </c>
      <c r="G187">
        <v>66</v>
      </c>
      <c r="I187" s="47">
        <v>21954</v>
      </c>
      <c r="J187" s="47"/>
      <c r="K187" t="s">
        <v>587</v>
      </c>
      <c r="M187" t="s">
        <v>18</v>
      </c>
      <c r="O187">
        <v>3400</v>
      </c>
      <c r="Q187">
        <v>78000</v>
      </c>
      <c r="S187" t="s">
        <v>14</v>
      </c>
      <c r="U187">
        <v>9</v>
      </c>
      <c r="Y187" t="s">
        <v>14</v>
      </c>
      <c r="AA187">
        <v>51500</v>
      </c>
    </row>
    <row r="188" spans="1:27" x14ac:dyDescent="0.3">
      <c r="A188" t="s">
        <v>906</v>
      </c>
      <c r="C188" t="s">
        <v>905</v>
      </c>
      <c r="E188" t="s">
        <v>904</v>
      </c>
      <c r="G188">
        <v>49</v>
      </c>
      <c r="I188">
        <v>28049</v>
      </c>
      <c r="K188" t="s">
        <v>641</v>
      </c>
      <c r="M188" t="s">
        <v>576</v>
      </c>
      <c r="O188">
        <v>25200</v>
      </c>
      <c r="Q188">
        <v>59500</v>
      </c>
      <c r="S188" t="s">
        <v>14</v>
      </c>
      <c r="U188">
        <v>37</v>
      </c>
      <c r="Y188" t="s">
        <v>14</v>
      </c>
      <c r="AA188">
        <v>86500</v>
      </c>
    </row>
    <row r="189" spans="1:27" x14ac:dyDescent="0.3">
      <c r="A189" t="s">
        <v>521</v>
      </c>
      <c r="C189" t="s">
        <v>903</v>
      </c>
      <c r="E189" t="s">
        <v>902</v>
      </c>
      <c r="G189">
        <v>60</v>
      </c>
      <c r="I189" s="47">
        <v>24021</v>
      </c>
      <c r="J189" s="47"/>
      <c r="K189" t="s">
        <v>577</v>
      </c>
      <c r="M189" t="s">
        <v>17</v>
      </c>
      <c r="O189">
        <v>22900</v>
      </c>
      <c r="Q189">
        <v>4500</v>
      </c>
      <c r="S189" t="s">
        <v>13</v>
      </c>
      <c r="U189">
        <v>29</v>
      </c>
      <c r="Y189" t="s">
        <v>13</v>
      </c>
      <c r="AA189">
        <v>43500</v>
      </c>
    </row>
    <row r="190" spans="1:27" x14ac:dyDescent="0.3">
      <c r="A190" t="s">
        <v>172</v>
      </c>
      <c r="C190" t="s">
        <v>901</v>
      </c>
      <c r="E190">
        <v>17500</v>
      </c>
      <c r="G190">
        <v>60</v>
      </c>
      <c r="I190" s="47">
        <v>24091</v>
      </c>
      <c r="J190" s="47"/>
      <c r="K190" t="s">
        <v>573</v>
      </c>
      <c r="M190" t="s">
        <v>572</v>
      </c>
      <c r="O190">
        <v>10100</v>
      </c>
      <c r="Q190">
        <v>55000</v>
      </c>
      <c r="S190" t="s">
        <v>14</v>
      </c>
      <c r="U190">
        <v>26</v>
      </c>
      <c r="Y190" t="s">
        <v>14</v>
      </c>
      <c r="AA190">
        <v>54000</v>
      </c>
    </row>
    <row r="191" spans="1:27" x14ac:dyDescent="0.3">
      <c r="A191" t="s">
        <v>521</v>
      </c>
      <c r="C191" t="s">
        <v>900</v>
      </c>
      <c r="E191">
        <v>16300</v>
      </c>
      <c r="G191" t="s">
        <v>899</v>
      </c>
      <c r="I191" s="47">
        <v>36255</v>
      </c>
      <c r="J191" s="47"/>
      <c r="K191" t="s">
        <v>641</v>
      </c>
      <c r="M191" t="s">
        <v>576</v>
      </c>
      <c r="O191">
        <v>14000</v>
      </c>
      <c r="Q191">
        <v>63500</v>
      </c>
      <c r="S191" t="s">
        <v>14</v>
      </c>
      <c r="U191">
        <v>24</v>
      </c>
      <c r="Y191" t="s">
        <v>14</v>
      </c>
      <c r="AA191">
        <v>87000</v>
      </c>
    </row>
    <row r="192" spans="1:27" x14ac:dyDescent="0.3">
      <c r="A192" t="s">
        <v>521</v>
      </c>
      <c r="C192" t="s">
        <v>898</v>
      </c>
      <c r="E192" t="s">
        <v>897</v>
      </c>
      <c r="G192">
        <v>53</v>
      </c>
      <c r="I192">
        <v>26898</v>
      </c>
      <c r="K192" t="s">
        <v>530</v>
      </c>
      <c r="M192" t="s">
        <v>576</v>
      </c>
      <c r="O192">
        <v>27100</v>
      </c>
      <c r="Q192">
        <v>68000</v>
      </c>
      <c r="S192" t="s">
        <v>14</v>
      </c>
      <c r="U192" t="s">
        <v>896</v>
      </c>
      <c r="Y192" t="s">
        <v>14</v>
      </c>
      <c r="AA192">
        <v>49500</v>
      </c>
    </row>
    <row r="193" spans="1:27" x14ac:dyDescent="0.3">
      <c r="A193" t="s">
        <v>521</v>
      </c>
      <c r="C193" t="s">
        <v>713</v>
      </c>
      <c r="E193" t="s">
        <v>712</v>
      </c>
      <c r="G193">
        <v>37</v>
      </c>
      <c r="I193">
        <v>32414</v>
      </c>
      <c r="K193" t="s">
        <v>711</v>
      </c>
      <c r="O193">
        <v>12800</v>
      </c>
      <c r="Q193">
        <v>76500</v>
      </c>
      <c r="S193" t="s">
        <v>14</v>
      </c>
      <c r="U193" t="s">
        <v>710</v>
      </c>
      <c r="Y193" t="s">
        <v>14</v>
      </c>
      <c r="AA193">
        <v>18500</v>
      </c>
    </row>
    <row r="194" spans="1:27" x14ac:dyDescent="0.3">
      <c r="A194" t="s">
        <v>521</v>
      </c>
      <c r="C194" t="s">
        <v>895</v>
      </c>
      <c r="E194">
        <v>35000</v>
      </c>
      <c r="G194">
        <v>18</v>
      </c>
      <c r="I194" s="47">
        <v>39342</v>
      </c>
      <c r="J194" s="47"/>
      <c r="K194" t="s">
        <v>619</v>
      </c>
      <c r="M194" t="s">
        <v>550</v>
      </c>
      <c r="O194">
        <v>28900</v>
      </c>
      <c r="Q194">
        <v>22000</v>
      </c>
      <c r="S194" t="s">
        <v>14</v>
      </c>
      <c r="U194">
        <v>23</v>
      </c>
      <c r="Y194" t="s">
        <v>14</v>
      </c>
      <c r="AA194">
        <v>90000</v>
      </c>
    </row>
    <row r="195" spans="1:27" x14ac:dyDescent="0.3">
      <c r="A195" t="s">
        <v>521</v>
      </c>
      <c r="C195" t="s">
        <v>894</v>
      </c>
      <c r="E195" t="s">
        <v>893</v>
      </c>
      <c r="G195">
        <v>27</v>
      </c>
      <c r="I195">
        <v>36308</v>
      </c>
      <c r="K195" t="s">
        <v>595</v>
      </c>
      <c r="M195" t="s">
        <v>597</v>
      </c>
      <c r="O195">
        <v>5300</v>
      </c>
      <c r="Q195" t="s">
        <v>892</v>
      </c>
      <c r="S195" t="s">
        <v>695</v>
      </c>
      <c r="U195">
        <v>11</v>
      </c>
      <c r="Y195" t="s">
        <v>695</v>
      </c>
      <c r="AA195">
        <v>4500</v>
      </c>
    </row>
    <row r="196" spans="1:27" x14ac:dyDescent="0.3">
      <c r="A196" t="s">
        <v>521</v>
      </c>
      <c r="C196" t="s">
        <v>891</v>
      </c>
      <c r="E196" t="s">
        <v>890</v>
      </c>
      <c r="G196">
        <v>25</v>
      </c>
      <c r="I196">
        <v>36824</v>
      </c>
      <c r="K196" t="s">
        <v>641</v>
      </c>
      <c r="M196" t="s">
        <v>576</v>
      </c>
      <c r="O196">
        <v>18300</v>
      </c>
      <c r="Q196">
        <v>41000</v>
      </c>
      <c r="S196" t="s">
        <v>14</v>
      </c>
      <c r="U196">
        <v>9</v>
      </c>
      <c r="Y196" t="s">
        <v>14</v>
      </c>
      <c r="AA196">
        <v>32500</v>
      </c>
    </row>
    <row r="197" spans="1:27" x14ac:dyDescent="0.3">
      <c r="A197" t="s">
        <v>521</v>
      </c>
      <c r="C197" t="s">
        <v>889</v>
      </c>
      <c r="E197" t="s">
        <v>888</v>
      </c>
      <c r="G197">
        <v>55</v>
      </c>
      <c r="I197">
        <v>26103</v>
      </c>
      <c r="K197" t="s">
        <v>569</v>
      </c>
      <c r="M197" t="s">
        <v>558</v>
      </c>
      <c r="O197">
        <v>9600</v>
      </c>
      <c r="Q197">
        <v>43000</v>
      </c>
      <c r="S197" t="s">
        <v>14</v>
      </c>
      <c r="U197">
        <v>36</v>
      </c>
      <c r="Y197" t="s">
        <v>14</v>
      </c>
      <c r="AA197">
        <v>67500</v>
      </c>
    </row>
    <row r="198" spans="1:27" x14ac:dyDescent="0.3">
      <c r="A198" t="s">
        <v>521</v>
      </c>
      <c r="C198" t="s">
        <v>40</v>
      </c>
      <c r="E198" t="s">
        <v>887</v>
      </c>
      <c r="G198">
        <v>23</v>
      </c>
      <c r="I198">
        <v>37530</v>
      </c>
      <c r="K198" t="s">
        <v>638</v>
      </c>
      <c r="O198">
        <v>10700</v>
      </c>
      <c r="Q198">
        <v>15000</v>
      </c>
      <c r="S198" t="s">
        <v>14</v>
      </c>
      <c r="U198">
        <v>42</v>
      </c>
      <c r="Y198" t="s">
        <v>14</v>
      </c>
      <c r="AA198">
        <v>81500</v>
      </c>
    </row>
    <row r="199" spans="1:27" x14ac:dyDescent="0.3">
      <c r="A199" t="s">
        <v>528</v>
      </c>
      <c r="C199" t="s">
        <v>877</v>
      </c>
      <c r="E199" t="s">
        <v>876</v>
      </c>
      <c r="G199">
        <v>58</v>
      </c>
      <c r="I199">
        <v>24872</v>
      </c>
      <c r="K199" t="s">
        <v>564</v>
      </c>
      <c r="M199" t="s">
        <v>28</v>
      </c>
      <c r="O199" s="48">
        <v>12500</v>
      </c>
      <c r="P199" s="48"/>
      <c r="Q199" s="46">
        <v>44500</v>
      </c>
      <c r="R199" s="46"/>
      <c r="S199" t="s">
        <v>695</v>
      </c>
      <c r="U199">
        <v>13</v>
      </c>
      <c r="Y199" t="s">
        <v>695</v>
      </c>
      <c r="AA199">
        <v>16000</v>
      </c>
    </row>
    <row r="200" spans="1:27" x14ac:dyDescent="0.3">
      <c r="A200" t="s">
        <v>521</v>
      </c>
      <c r="C200" t="s">
        <v>886</v>
      </c>
      <c r="G200">
        <v>24</v>
      </c>
      <c r="K200" t="s">
        <v>625</v>
      </c>
      <c r="M200" t="s">
        <v>680</v>
      </c>
      <c r="O200">
        <v>17000</v>
      </c>
      <c r="Q200">
        <v>41000</v>
      </c>
      <c r="S200" t="s">
        <v>14</v>
      </c>
      <c r="U200">
        <v>37</v>
      </c>
      <c r="Y200" t="s">
        <v>14</v>
      </c>
      <c r="AA200">
        <v>33000</v>
      </c>
    </row>
    <row r="201" spans="1:27" x14ac:dyDescent="0.3">
      <c r="A201" t="s">
        <v>521</v>
      </c>
      <c r="C201" t="s">
        <v>885</v>
      </c>
      <c r="E201">
        <v>7700</v>
      </c>
      <c r="I201" s="47">
        <v>31337</v>
      </c>
      <c r="J201" s="47"/>
      <c r="K201" t="s">
        <v>543</v>
      </c>
      <c r="M201" t="s">
        <v>597</v>
      </c>
      <c r="O201">
        <v>14000</v>
      </c>
      <c r="Q201">
        <v>0</v>
      </c>
      <c r="S201" t="s">
        <v>547</v>
      </c>
      <c r="U201">
        <v>24</v>
      </c>
      <c r="Y201" t="s">
        <v>547</v>
      </c>
      <c r="AA201">
        <v>82000</v>
      </c>
    </row>
    <row r="202" spans="1:27" x14ac:dyDescent="0.3">
      <c r="A202" t="s">
        <v>521</v>
      </c>
      <c r="C202" t="s">
        <v>884</v>
      </c>
      <c r="E202" t="s">
        <v>883</v>
      </c>
      <c r="G202">
        <v>59</v>
      </c>
      <c r="I202">
        <v>24710</v>
      </c>
      <c r="K202" t="s">
        <v>696</v>
      </c>
      <c r="O202" s="46">
        <v>19900</v>
      </c>
      <c r="P202" s="46"/>
      <c r="Q202" s="46">
        <v>55000</v>
      </c>
      <c r="R202" s="46"/>
      <c r="S202" t="s">
        <v>14</v>
      </c>
      <c r="U202">
        <v>26</v>
      </c>
      <c r="Y202" t="s">
        <v>14</v>
      </c>
      <c r="AA202">
        <v>100000</v>
      </c>
    </row>
    <row r="203" spans="1:27" x14ac:dyDescent="0.3">
      <c r="A203" t="s">
        <v>528</v>
      </c>
      <c r="C203" t="s">
        <v>882</v>
      </c>
      <c r="E203" t="s">
        <v>881</v>
      </c>
      <c r="G203">
        <v>74</v>
      </c>
      <c r="I203">
        <v>19073</v>
      </c>
      <c r="K203" t="s">
        <v>573</v>
      </c>
      <c r="O203">
        <v>7100</v>
      </c>
      <c r="Q203">
        <v>61500</v>
      </c>
      <c r="S203" t="s">
        <v>14</v>
      </c>
      <c r="U203" t="s">
        <v>880</v>
      </c>
      <c r="Y203" t="s">
        <v>14</v>
      </c>
      <c r="AA203">
        <v>50500</v>
      </c>
    </row>
    <row r="204" spans="1:27" x14ac:dyDescent="0.3">
      <c r="A204" t="s">
        <v>521</v>
      </c>
      <c r="C204" t="s">
        <v>879</v>
      </c>
      <c r="E204" t="s">
        <v>878</v>
      </c>
      <c r="G204">
        <v>64</v>
      </c>
      <c r="I204" s="47">
        <v>22886</v>
      </c>
      <c r="J204" s="47"/>
      <c r="K204" t="s">
        <v>564</v>
      </c>
      <c r="M204" t="s">
        <v>563</v>
      </c>
      <c r="O204" s="46">
        <v>8800</v>
      </c>
      <c r="P204" s="46"/>
      <c r="Q204" s="48">
        <v>66000</v>
      </c>
      <c r="R204" s="48"/>
      <c r="S204" t="s">
        <v>14</v>
      </c>
      <c r="U204">
        <v>28</v>
      </c>
      <c r="Y204" t="s">
        <v>14</v>
      </c>
      <c r="AA204">
        <v>5000</v>
      </c>
    </row>
    <row r="205" spans="1:27" x14ac:dyDescent="0.3">
      <c r="A205" t="s">
        <v>528</v>
      </c>
      <c r="C205" t="s">
        <v>877</v>
      </c>
      <c r="E205" t="s">
        <v>876</v>
      </c>
      <c r="G205">
        <v>58</v>
      </c>
      <c r="I205">
        <v>24872</v>
      </c>
      <c r="K205" t="s">
        <v>564</v>
      </c>
      <c r="M205" t="s">
        <v>28</v>
      </c>
      <c r="O205" s="48">
        <v>12500</v>
      </c>
      <c r="P205" s="48"/>
      <c r="Q205" s="46">
        <v>44500</v>
      </c>
      <c r="R205" s="46"/>
      <c r="S205" t="s">
        <v>695</v>
      </c>
      <c r="U205">
        <v>13</v>
      </c>
      <c r="Y205" t="s">
        <v>695</v>
      </c>
      <c r="AA205">
        <v>98500</v>
      </c>
    </row>
    <row r="206" spans="1:27" x14ac:dyDescent="0.3">
      <c r="A206" t="s">
        <v>521</v>
      </c>
      <c r="C206" t="s">
        <v>875</v>
      </c>
      <c r="E206">
        <v>23300</v>
      </c>
      <c r="G206">
        <v>38</v>
      </c>
      <c r="I206">
        <v>32066</v>
      </c>
      <c r="K206" t="s">
        <v>539</v>
      </c>
      <c r="M206" t="s">
        <v>536</v>
      </c>
      <c r="O206">
        <v>9700</v>
      </c>
      <c r="Q206" s="46">
        <v>25000</v>
      </c>
      <c r="R206" s="46"/>
      <c r="S206" t="s">
        <v>14</v>
      </c>
      <c r="U206">
        <v>0</v>
      </c>
      <c r="Y206" t="s">
        <v>14</v>
      </c>
      <c r="AA206">
        <v>55500</v>
      </c>
    </row>
    <row r="207" spans="1:27" x14ac:dyDescent="0.3">
      <c r="A207" t="s">
        <v>521</v>
      </c>
      <c r="C207" t="s">
        <v>874</v>
      </c>
      <c r="E207">
        <v>9600</v>
      </c>
      <c r="G207">
        <v>49</v>
      </c>
      <c r="I207">
        <v>28330</v>
      </c>
      <c r="K207" t="s">
        <v>533</v>
      </c>
      <c r="M207" t="s">
        <v>536</v>
      </c>
      <c r="O207">
        <v>11500</v>
      </c>
      <c r="Q207">
        <v>44500</v>
      </c>
      <c r="S207" t="s">
        <v>14</v>
      </c>
      <c r="U207">
        <v>45</v>
      </c>
      <c r="Y207" t="s">
        <v>14</v>
      </c>
      <c r="AA207">
        <v>3000</v>
      </c>
    </row>
    <row r="208" spans="1:27" x14ac:dyDescent="0.3">
      <c r="A208" t="s">
        <v>521</v>
      </c>
      <c r="C208" t="s">
        <v>873</v>
      </c>
      <c r="E208">
        <v>19000</v>
      </c>
      <c r="G208">
        <v>42</v>
      </c>
      <c r="I208" s="47">
        <v>30724</v>
      </c>
      <c r="J208" s="47"/>
      <c r="K208" t="s">
        <v>567</v>
      </c>
      <c r="M208" t="s">
        <v>576</v>
      </c>
      <c r="O208">
        <v>18500</v>
      </c>
      <c r="Q208" s="48">
        <v>59000</v>
      </c>
      <c r="R208" s="48"/>
      <c r="S208" t="s">
        <v>14</v>
      </c>
      <c r="U208">
        <v>44</v>
      </c>
      <c r="Y208" t="s">
        <v>14</v>
      </c>
      <c r="AA208">
        <v>16500</v>
      </c>
    </row>
    <row r="209" spans="1:27" x14ac:dyDescent="0.3">
      <c r="A209" t="s">
        <v>521</v>
      </c>
      <c r="C209" t="s">
        <v>872</v>
      </c>
      <c r="E209" t="s">
        <v>871</v>
      </c>
      <c r="G209">
        <v>18</v>
      </c>
      <c r="I209">
        <v>39338</v>
      </c>
      <c r="K209" t="s">
        <v>530</v>
      </c>
      <c r="M209" t="s">
        <v>17</v>
      </c>
      <c r="O209" s="46">
        <v>14100</v>
      </c>
      <c r="P209" s="46"/>
      <c r="Q209">
        <v>38500</v>
      </c>
      <c r="S209" t="s">
        <v>14</v>
      </c>
      <c r="U209">
        <v>7</v>
      </c>
      <c r="Y209" t="s">
        <v>14</v>
      </c>
      <c r="AA209">
        <v>11000</v>
      </c>
    </row>
    <row r="210" spans="1:27" x14ac:dyDescent="0.3">
      <c r="A210" t="s">
        <v>521</v>
      </c>
      <c r="C210" t="s">
        <v>870</v>
      </c>
      <c r="E210">
        <v>4900</v>
      </c>
      <c r="G210">
        <v>18</v>
      </c>
      <c r="I210">
        <v>39369</v>
      </c>
      <c r="K210" t="s">
        <v>539</v>
      </c>
      <c r="M210" t="s">
        <v>869</v>
      </c>
      <c r="O210">
        <v>18500</v>
      </c>
      <c r="Q210">
        <v>74500</v>
      </c>
      <c r="S210" t="s">
        <v>13</v>
      </c>
      <c r="U210">
        <v>20</v>
      </c>
      <c r="Y210" t="s">
        <v>13</v>
      </c>
      <c r="AA210">
        <v>45500</v>
      </c>
    </row>
    <row r="211" spans="1:27" x14ac:dyDescent="0.3">
      <c r="A211" t="s">
        <v>528</v>
      </c>
      <c r="C211" t="s">
        <v>868</v>
      </c>
      <c r="E211" t="s">
        <v>867</v>
      </c>
      <c r="G211">
        <v>66</v>
      </c>
      <c r="I211" s="47">
        <v>22039</v>
      </c>
      <c r="J211" s="47"/>
      <c r="K211" t="s">
        <v>556</v>
      </c>
      <c r="M211" t="s">
        <v>866</v>
      </c>
      <c r="O211" t="s">
        <v>865</v>
      </c>
      <c r="Q211" t="s">
        <v>724</v>
      </c>
      <c r="S211" t="s">
        <v>14</v>
      </c>
      <c r="U211">
        <v>28</v>
      </c>
      <c r="Y211" t="s">
        <v>14</v>
      </c>
      <c r="AA211">
        <v>74500</v>
      </c>
    </row>
    <row r="212" spans="1:27" x14ac:dyDescent="0.3">
      <c r="A212" t="s">
        <v>521</v>
      </c>
      <c r="C212" t="s">
        <v>864</v>
      </c>
      <c r="E212" t="s">
        <v>863</v>
      </c>
      <c r="G212">
        <v>35</v>
      </c>
      <c r="I212" s="47">
        <v>33336</v>
      </c>
      <c r="J212" s="47"/>
      <c r="K212" t="s">
        <v>526</v>
      </c>
      <c r="M212" t="s">
        <v>525</v>
      </c>
      <c r="O212" t="s">
        <v>862</v>
      </c>
      <c r="Q212">
        <v>54000</v>
      </c>
      <c r="S212">
        <v>0</v>
      </c>
      <c r="U212">
        <v>44</v>
      </c>
      <c r="Y212">
        <v>0</v>
      </c>
      <c r="AA212">
        <v>18000</v>
      </c>
    </row>
    <row r="213" spans="1:27" x14ac:dyDescent="0.3">
      <c r="A213" t="s">
        <v>521</v>
      </c>
      <c r="C213" t="s">
        <v>861</v>
      </c>
      <c r="E213">
        <v>27800</v>
      </c>
      <c r="G213">
        <v>38</v>
      </c>
      <c r="I213">
        <v>32152</v>
      </c>
      <c r="K213" t="s">
        <v>860</v>
      </c>
      <c r="O213">
        <v>2000</v>
      </c>
      <c r="Q213">
        <v>60000</v>
      </c>
      <c r="S213" t="s">
        <v>14</v>
      </c>
      <c r="U213" t="s">
        <v>807</v>
      </c>
      <c r="Y213" t="s">
        <v>14</v>
      </c>
      <c r="AA213">
        <v>54000</v>
      </c>
    </row>
    <row r="214" spans="1:27" x14ac:dyDescent="0.3">
      <c r="A214" t="s">
        <v>528</v>
      </c>
      <c r="C214" t="s">
        <v>859</v>
      </c>
      <c r="E214" t="s">
        <v>858</v>
      </c>
      <c r="G214" t="s">
        <v>662</v>
      </c>
      <c r="I214" s="47">
        <v>29113</v>
      </c>
      <c r="J214" s="47"/>
      <c r="K214" t="s">
        <v>530</v>
      </c>
      <c r="M214" t="s">
        <v>576</v>
      </c>
      <c r="O214">
        <v>15000</v>
      </c>
      <c r="Q214">
        <v>0</v>
      </c>
      <c r="S214" t="s">
        <v>14</v>
      </c>
      <c r="U214">
        <v>40</v>
      </c>
      <c r="Y214" t="s">
        <v>14</v>
      </c>
      <c r="AA214">
        <v>90500</v>
      </c>
    </row>
    <row r="215" spans="1:27" x14ac:dyDescent="0.3">
      <c r="A215" t="s">
        <v>521</v>
      </c>
      <c r="C215" t="s">
        <v>857</v>
      </c>
      <c r="E215" t="s">
        <v>856</v>
      </c>
      <c r="G215">
        <v>72</v>
      </c>
      <c r="I215">
        <v>19800</v>
      </c>
      <c r="K215" t="s">
        <v>595</v>
      </c>
      <c r="M215" t="s">
        <v>597</v>
      </c>
      <c r="O215">
        <v>24300</v>
      </c>
      <c r="Q215">
        <v>13500</v>
      </c>
      <c r="S215" t="s">
        <v>14</v>
      </c>
      <c r="U215">
        <v>33</v>
      </c>
      <c r="Y215" t="s">
        <v>14</v>
      </c>
      <c r="AA215">
        <v>14500</v>
      </c>
    </row>
    <row r="216" spans="1:27" x14ac:dyDescent="0.3">
      <c r="A216" t="s">
        <v>521</v>
      </c>
      <c r="C216" t="s">
        <v>855</v>
      </c>
      <c r="E216" t="s">
        <v>854</v>
      </c>
      <c r="G216">
        <v>69</v>
      </c>
      <c r="K216" t="s">
        <v>533</v>
      </c>
      <c r="M216" t="s">
        <v>536</v>
      </c>
      <c r="O216" s="46">
        <v>4500</v>
      </c>
      <c r="P216" s="46"/>
      <c r="Q216">
        <v>0</v>
      </c>
      <c r="S216" t="s">
        <v>13</v>
      </c>
      <c r="U216">
        <v>32</v>
      </c>
      <c r="Y216" t="s">
        <v>13</v>
      </c>
      <c r="AA216">
        <v>56500</v>
      </c>
    </row>
    <row r="217" spans="1:27" x14ac:dyDescent="0.3">
      <c r="A217" t="s">
        <v>521</v>
      </c>
      <c r="C217" t="s">
        <v>853</v>
      </c>
      <c r="E217" t="s">
        <v>852</v>
      </c>
      <c r="G217">
        <v>22</v>
      </c>
      <c r="I217">
        <v>38079</v>
      </c>
      <c r="K217" t="s">
        <v>569</v>
      </c>
      <c r="M217" t="s">
        <v>558</v>
      </c>
      <c r="O217">
        <v>9200</v>
      </c>
      <c r="Q217" s="48">
        <v>5000</v>
      </c>
      <c r="R217" s="48"/>
      <c r="S217" t="s">
        <v>14</v>
      </c>
      <c r="U217">
        <v>42</v>
      </c>
      <c r="Y217" t="s">
        <v>14</v>
      </c>
      <c r="AA217">
        <v>63500</v>
      </c>
    </row>
    <row r="218" spans="1:27" x14ac:dyDescent="0.3">
      <c r="A218" t="s">
        <v>521</v>
      </c>
      <c r="C218" t="s">
        <v>851</v>
      </c>
      <c r="E218" t="s">
        <v>850</v>
      </c>
      <c r="G218">
        <v>39</v>
      </c>
      <c r="I218">
        <v>31972</v>
      </c>
      <c r="K218" t="s">
        <v>595</v>
      </c>
      <c r="M218" t="s">
        <v>16</v>
      </c>
      <c r="O218">
        <v>8700</v>
      </c>
      <c r="Q218" t="s">
        <v>849</v>
      </c>
      <c r="S218" t="s">
        <v>14</v>
      </c>
      <c r="U218">
        <v>16</v>
      </c>
      <c r="Y218" t="s">
        <v>14</v>
      </c>
      <c r="AA218">
        <v>93500</v>
      </c>
    </row>
    <row r="219" spans="1:27" x14ac:dyDescent="0.3">
      <c r="A219" t="s">
        <v>521</v>
      </c>
      <c r="C219" t="s">
        <v>848</v>
      </c>
      <c r="E219">
        <v>9800</v>
      </c>
      <c r="G219">
        <v>35</v>
      </c>
      <c r="I219" s="47">
        <v>33440</v>
      </c>
      <c r="J219" s="47"/>
      <c r="K219" t="s">
        <v>564</v>
      </c>
      <c r="M219" t="s">
        <v>28</v>
      </c>
      <c r="O219" s="48">
        <v>2000</v>
      </c>
      <c r="P219" s="48"/>
      <c r="Q219" s="48">
        <v>5500</v>
      </c>
      <c r="R219" s="48"/>
      <c r="S219" t="s">
        <v>14</v>
      </c>
      <c r="U219">
        <v>34</v>
      </c>
      <c r="Y219" t="s">
        <v>14</v>
      </c>
      <c r="AA219">
        <v>71000</v>
      </c>
    </row>
    <row r="220" spans="1:27" x14ac:dyDescent="0.3">
      <c r="A220" t="s">
        <v>521</v>
      </c>
      <c r="C220" t="s">
        <v>839</v>
      </c>
      <c r="E220" t="s">
        <v>847</v>
      </c>
      <c r="G220">
        <v>72</v>
      </c>
      <c r="I220">
        <v>19623</v>
      </c>
      <c r="K220" t="s">
        <v>573</v>
      </c>
      <c r="M220" t="s">
        <v>572</v>
      </c>
      <c r="O220" s="46">
        <v>12600</v>
      </c>
      <c r="P220" s="46"/>
      <c r="Q220" s="46">
        <v>5500</v>
      </c>
      <c r="R220" s="46"/>
      <c r="S220" t="s">
        <v>14</v>
      </c>
      <c r="U220">
        <v>35</v>
      </c>
      <c r="Y220" t="s">
        <v>14</v>
      </c>
      <c r="AA220">
        <v>21000</v>
      </c>
    </row>
    <row r="221" spans="1:27" x14ac:dyDescent="0.3">
      <c r="A221" t="s">
        <v>521</v>
      </c>
      <c r="C221" t="s">
        <v>846</v>
      </c>
      <c r="E221" t="s">
        <v>845</v>
      </c>
      <c r="G221">
        <v>24</v>
      </c>
      <c r="K221" t="s">
        <v>641</v>
      </c>
      <c r="M221" t="s">
        <v>576</v>
      </c>
      <c r="O221">
        <v>29300</v>
      </c>
      <c r="Q221">
        <v>32000</v>
      </c>
      <c r="S221" t="s">
        <v>13</v>
      </c>
      <c r="U221">
        <v>26</v>
      </c>
      <c r="Y221" t="s">
        <v>13</v>
      </c>
      <c r="AA221">
        <v>59000</v>
      </c>
    </row>
    <row r="222" spans="1:27" x14ac:dyDescent="0.3">
      <c r="A222" t="s">
        <v>528</v>
      </c>
      <c r="C222" t="s">
        <v>799</v>
      </c>
      <c r="E222" t="s">
        <v>798</v>
      </c>
      <c r="G222">
        <v>26</v>
      </c>
      <c r="I222">
        <v>36540</v>
      </c>
      <c r="K222" t="s">
        <v>625</v>
      </c>
      <c r="M222" t="s">
        <v>18</v>
      </c>
      <c r="O222">
        <v>24000</v>
      </c>
      <c r="Q222" t="s">
        <v>797</v>
      </c>
      <c r="S222" t="s">
        <v>14</v>
      </c>
      <c r="U222">
        <v>30</v>
      </c>
      <c r="Y222" t="s">
        <v>14</v>
      </c>
      <c r="AA222">
        <v>62500</v>
      </c>
    </row>
    <row r="223" spans="1:27" x14ac:dyDescent="0.3">
      <c r="A223" t="s">
        <v>521</v>
      </c>
      <c r="C223" t="s">
        <v>844</v>
      </c>
      <c r="E223" t="s">
        <v>843</v>
      </c>
      <c r="G223">
        <v>35</v>
      </c>
      <c r="I223">
        <v>33309</v>
      </c>
      <c r="K223" t="s">
        <v>595</v>
      </c>
      <c r="M223" t="s">
        <v>597</v>
      </c>
      <c r="O223">
        <v>28500</v>
      </c>
      <c r="Q223" s="48">
        <v>48500</v>
      </c>
      <c r="R223" s="48"/>
      <c r="S223" t="s">
        <v>14</v>
      </c>
      <c r="U223">
        <v>24</v>
      </c>
      <c r="Y223" t="s">
        <v>14</v>
      </c>
      <c r="AA223">
        <v>80500</v>
      </c>
    </row>
    <row r="224" spans="1:27" x14ac:dyDescent="0.3">
      <c r="A224" t="s">
        <v>521</v>
      </c>
      <c r="C224" t="s">
        <v>41</v>
      </c>
      <c r="E224" t="s">
        <v>842</v>
      </c>
      <c r="G224">
        <v>23</v>
      </c>
      <c r="I224" s="47">
        <v>37785</v>
      </c>
      <c r="J224" s="47"/>
      <c r="K224" t="s">
        <v>587</v>
      </c>
      <c r="M224" t="s">
        <v>680</v>
      </c>
      <c r="O224" s="46">
        <v>17900</v>
      </c>
      <c r="P224" s="46"/>
      <c r="Q224">
        <v>28000</v>
      </c>
      <c r="S224" t="s">
        <v>14</v>
      </c>
      <c r="U224">
        <v>41</v>
      </c>
      <c r="Y224" t="s">
        <v>14</v>
      </c>
      <c r="AA224">
        <v>52500</v>
      </c>
    </row>
    <row r="225" spans="1:27" x14ac:dyDescent="0.3">
      <c r="A225" t="s">
        <v>528</v>
      </c>
      <c r="C225" t="s">
        <v>841</v>
      </c>
      <c r="E225" t="s">
        <v>840</v>
      </c>
      <c r="G225">
        <v>33</v>
      </c>
      <c r="I225">
        <v>33902</v>
      </c>
      <c r="K225" t="s">
        <v>518</v>
      </c>
      <c r="M225" t="s">
        <v>517</v>
      </c>
      <c r="O225">
        <v>12500</v>
      </c>
      <c r="Q225">
        <v>51500</v>
      </c>
      <c r="S225" t="s">
        <v>13</v>
      </c>
      <c r="U225">
        <v>44</v>
      </c>
      <c r="Y225" t="s">
        <v>13</v>
      </c>
      <c r="AA225">
        <v>24000</v>
      </c>
    </row>
    <row r="226" spans="1:27" x14ac:dyDescent="0.3">
      <c r="A226" t="s">
        <v>521</v>
      </c>
      <c r="C226" t="s">
        <v>839</v>
      </c>
      <c r="E226" t="s">
        <v>838</v>
      </c>
      <c r="G226">
        <v>63</v>
      </c>
      <c r="I226" s="47">
        <v>22900</v>
      </c>
      <c r="J226" s="47"/>
      <c r="K226" t="s">
        <v>556</v>
      </c>
      <c r="M226" t="s">
        <v>556</v>
      </c>
      <c r="O226">
        <v>5500</v>
      </c>
      <c r="Q226" s="48">
        <v>41000</v>
      </c>
      <c r="R226" s="48"/>
      <c r="S226" t="s">
        <v>14</v>
      </c>
      <c r="U226">
        <v>2</v>
      </c>
      <c r="Y226" t="s">
        <v>14</v>
      </c>
      <c r="AA226">
        <v>54500</v>
      </c>
    </row>
    <row r="227" spans="1:27" x14ac:dyDescent="0.3">
      <c r="A227" t="s">
        <v>528</v>
      </c>
      <c r="C227" t="s">
        <v>837</v>
      </c>
      <c r="E227" t="s">
        <v>836</v>
      </c>
      <c r="G227">
        <v>31</v>
      </c>
      <c r="I227" s="47">
        <v>34885</v>
      </c>
      <c r="J227" s="47"/>
      <c r="K227" t="s">
        <v>625</v>
      </c>
      <c r="M227" t="s">
        <v>586</v>
      </c>
      <c r="O227" s="46">
        <v>16400</v>
      </c>
      <c r="P227" s="46"/>
      <c r="Q227" t="s">
        <v>835</v>
      </c>
      <c r="S227" t="s">
        <v>562</v>
      </c>
      <c r="U227">
        <v>6</v>
      </c>
      <c r="Y227" t="s">
        <v>562</v>
      </c>
      <c r="AA227">
        <v>49500</v>
      </c>
    </row>
    <row r="228" spans="1:27" x14ac:dyDescent="0.3">
      <c r="A228" t="s">
        <v>171</v>
      </c>
      <c r="C228" t="s">
        <v>834</v>
      </c>
      <c r="E228" t="s">
        <v>833</v>
      </c>
      <c r="G228">
        <v>71</v>
      </c>
      <c r="I228" s="47">
        <v>20000</v>
      </c>
      <c r="J228" s="47"/>
      <c r="K228" t="s">
        <v>601</v>
      </c>
      <c r="M228" t="s">
        <v>600</v>
      </c>
      <c r="O228">
        <v>15100</v>
      </c>
      <c r="Q228" t="s">
        <v>130</v>
      </c>
      <c r="S228" t="s">
        <v>14</v>
      </c>
      <c r="U228">
        <v>42</v>
      </c>
      <c r="Y228" t="s">
        <v>14</v>
      </c>
      <c r="AA228">
        <v>77000</v>
      </c>
    </row>
    <row r="229" spans="1:27" x14ac:dyDescent="0.3">
      <c r="A229" t="s">
        <v>521</v>
      </c>
      <c r="C229" t="s">
        <v>832</v>
      </c>
      <c r="E229">
        <v>21900</v>
      </c>
      <c r="G229">
        <v>67</v>
      </c>
      <c r="I229">
        <v>21619</v>
      </c>
      <c r="K229" t="s">
        <v>569</v>
      </c>
      <c r="M229" t="s">
        <v>15</v>
      </c>
      <c r="O229">
        <v>20200</v>
      </c>
      <c r="Q229">
        <v>6500</v>
      </c>
      <c r="S229" t="s">
        <v>14</v>
      </c>
      <c r="U229">
        <v>1</v>
      </c>
      <c r="Y229" t="s">
        <v>14</v>
      </c>
      <c r="AA229">
        <v>98500</v>
      </c>
    </row>
    <row r="230" spans="1:27" x14ac:dyDescent="0.3">
      <c r="A230" t="s">
        <v>521</v>
      </c>
      <c r="C230" t="s">
        <v>831</v>
      </c>
      <c r="E230" t="s">
        <v>830</v>
      </c>
      <c r="G230">
        <v>27</v>
      </c>
      <c r="I230" s="47">
        <v>36288</v>
      </c>
      <c r="J230" s="47"/>
      <c r="K230" t="s">
        <v>577</v>
      </c>
      <c r="M230" t="s">
        <v>576</v>
      </c>
      <c r="O230">
        <v>29700</v>
      </c>
      <c r="Q230">
        <v>12000</v>
      </c>
      <c r="S230" t="s">
        <v>14</v>
      </c>
      <c r="U230">
        <v>37</v>
      </c>
      <c r="Y230" t="s">
        <v>14</v>
      </c>
      <c r="AA230">
        <v>49000</v>
      </c>
    </row>
    <row r="231" spans="1:27" x14ac:dyDescent="0.3">
      <c r="A231" t="s">
        <v>521</v>
      </c>
      <c r="C231" t="s">
        <v>829</v>
      </c>
      <c r="E231" t="s">
        <v>828</v>
      </c>
      <c r="G231">
        <v>25</v>
      </c>
      <c r="I231" s="47">
        <v>37056</v>
      </c>
      <c r="J231" s="47"/>
      <c r="K231" t="s">
        <v>530</v>
      </c>
      <c r="M231" t="s">
        <v>576</v>
      </c>
      <c r="O231">
        <v>25400</v>
      </c>
      <c r="Q231">
        <v>4000</v>
      </c>
      <c r="S231" t="s">
        <v>14</v>
      </c>
      <c r="U231">
        <v>4</v>
      </c>
      <c r="Y231" t="s">
        <v>14</v>
      </c>
      <c r="AA231">
        <v>8500</v>
      </c>
    </row>
    <row r="232" spans="1:27" x14ac:dyDescent="0.3">
      <c r="A232" t="s">
        <v>521</v>
      </c>
      <c r="C232" t="s">
        <v>827</v>
      </c>
      <c r="E232" t="s">
        <v>826</v>
      </c>
      <c r="G232">
        <v>70</v>
      </c>
      <c r="I232">
        <v>20533</v>
      </c>
      <c r="K232" t="s">
        <v>601</v>
      </c>
      <c r="M232" t="s">
        <v>686</v>
      </c>
      <c r="O232">
        <v>9100</v>
      </c>
      <c r="Q232">
        <v>40500</v>
      </c>
      <c r="S232" t="s">
        <v>14</v>
      </c>
      <c r="U232">
        <v>35</v>
      </c>
      <c r="Y232" t="s">
        <v>14</v>
      </c>
      <c r="AA232">
        <v>53000</v>
      </c>
    </row>
    <row r="233" spans="1:27" x14ac:dyDescent="0.3">
      <c r="A233" t="s">
        <v>528</v>
      </c>
      <c r="C233" t="s">
        <v>825</v>
      </c>
      <c r="E233" t="s">
        <v>824</v>
      </c>
      <c r="G233">
        <v>57</v>
      </c>
      <c r="I233" s="47">
        <v>25324</v>
      </c>
      <c r="J233" s="47"/>
      <c r="K233" t="s">
        <v>567</v>
      </c>
      <c r="M233" t="s">
        <v>17</v>
      </c>
      <c r="O233">
        <v>9500</v>
      </c>
      <c r="Q233">
        <v>58000</v>
      </c>
      <c r="S233" t="s">
        <v>547</v>
      </c>
      <c r="U233">
        <v>23</v>
      </c>
      <c r="Y233" t="s">
        <v>547</v>
      </c>
      <c r="AA233">
        <v>81500</v>
      </c>
    </row>
    <row r="234" spans="1:27" x14ac:dyDescent="0.3">
      <c r="A234" t="s">
        <v>528</v>
      </c>
      <c r="C234" t="s">
        <v>823</v>
      </c>
      <c r="E234" t="s">
        <v>822</v>
      </c>
      <c r="G234">
        <v>58</v>
      </c>
      <c r="I234">
        <v>25054</v>
      </c>
      <c r="K234" t="s">
        <v>587</v>
      </c>
      <c r="M234" t="s">
        <v>18</v>
      </c>
      <c r="O234" s="48">
        <v>4500</v>
      </c>
      <c r="P234" s="48"/>
      <c r="Q234" s="48">
        <v>20000</v>
      </c>
      <c r="R234" s="48"/>
      <c r="S234" t="s">
        <v>13</v>
      </c>
      <c r="U234">
        <v>9</v>
      </c>
      <c r="Y234" t="s">
        <v>13</v>
      </c>
      <c r="AA234">
        <v>49000</v>
      </c>
    </row>
    <row r="235" spans="1:27" x14ac:dyDescent="0.3">
      <c r="A235" t="s">
        <v>528</v>
      </c>
      <c r="C235" t="s">
        <v>647</v>
      </c>
      <c r="E235">
        <v>6400</v>
      </c>
      <c r="G235">
        <v>57</v>
      </c>
      <c r="I235">
        <v>25206</v>
      </c>
      <c r="K235" t="s">
        <v>595</v>
      </c>
      <c r="M235" t="s">
        <v>594</v>
      </c>
      <c r="O235">
        <v>3400</v>
      </c>
      <c r="Q235">
        <v>0</v>
      </c>
      <c r="S235" t="s">
        <v>14</v>
      </c>
      <c r="U235">
        <v>20</v>
      </c>
      <c r="Y235" t="s">
        <v>14</v>
      </c>
      <c r="AA235">
        <v>19500</v>
      </c>
    </row>
    <row r="236" spans="1:27" x14ac:dyDescent="0.3">
      <c r="A236" t="s">
        <v>521</v>
      </c>
      <c r="C236" t="s">
        <v>821</v>
      </c>
      <c r="E236" t="s">
        <v>820</v>
      </c>
      <c r="G236">
        <v>65</v>
      </c>
      <c r="I236" s="47">
        <v>22366</v>
      </c>
      <c r="J236" s="47"/>
      <c r="K236" t="s">
        <v>518</v>
      </c>
      <c r="M236" t="s">
        <v>517</v>
      </c>
      <c r="O236" s="46">
        <v>18000</v>
      </c>
      <c r="P236" s="46"/>
      <c r="Q236">
        <v>0</v>
      </c>
      <c r="S236" t="s">
        <v>14</v>
      </c>
      <c r="U236">
        <v>27</v>
      </c>
      <c r="Y236" t="s">
        <v>14</v>
      </c>
      <c r="AA236">
        <v>38500</v>
      </c>
    </row>
    <row r="237" spans="1:27" x14ac:dyDescent="0.3">
      <c r="A237" t="s">
        <v>521</v>
      </c>
      <c r="C237" t="s">
        <v>819</v>
      </c>
      <c r="E237" t="s">
        <v>818</v>
      </c>
      <c r="G237">
        <v>39</v>
      </c>
      <c r="I237" s="47">
        <v>31814</v>
      </c>
      <c r="J237" s="47"/>
      <c r="K237" t="s">
        <v>567</v>
      </c>
      <c r="M237" t="s">
        <v>576</v>
      </c>
      <c r="O237" s="48">
        <v>9300</v>
      </c>
      <c r="P237" s="48"/>
      <c r="Q237" s="48">
        <v>36500</v>
      </c>
      <c r="R237" s="48"/>
      <c r="S237" t="s">
        <v>14</v>
      </c>
      <c r="Y237" t="s">
        <v>14</v>
      </c>
      <c r="AA237">
        <v>3000</v>
      </c>
    </row>
    <row r="238" spans="1:27" x14ac:dyDescent="0.3">
      <c r="A238" t="s">
        <v>521</v>
      </c>
      <c r="C238" t="s">
        <v>603</v>
      </c>
      <c r="E238">
        <v>30500</v>
      </c>
      <c r="G238">
        <v>62</v>
      </c>
      <c r="I238">
        <v>23278</v>
      </c>
      <c r="K238" t="s">
        <v>641</v>
      </c>
      <c r="M238" t="s">
        <v>576</v>
      </c>
      <c r="O238">
        <v>17000</v>
      </c>
      <c r="Q238">
        <v>64000</v>
      </c>
      <c r="S238" t="s">
        <v>13</v>
      </c>
      <c r="U238">
        <v>21</v>
      </c>
      <c r="Y238" t="s">
        <v>13</v>
      </c>
      <c r="AA238">
        <v>19000</v>
      </c>
    </row>
    <row r="239" spans="1:27" x14ac:dyDescent="0.3">
      <c r="A239" t="s">
        <v>528</v>
      </c>
      <c r="C239" t="s">
        <v>817</v>
      </c>
      <c r="E239" t="s">
        <v>816</v>
      </c>
      <c r="G239">
        <v>69</v>
      </c>
      <c r="I239">
        <v>20785</v>
      </c>
      <c r="K239" t="s">
        <v>641</v>
      </c>
      <c r="M239" t="s">
        <v>17</v>
      </c>
      <c r="O239">
        <v>16000</v>
      </c>
      <c r="Q239" s="48">
        <v>48000</v>
      </c>
      <c r="R239" s="48"/>
      <c r="S239" t="s">
        <v>14</v>
      </c>
      <c r="U239">
        <v>29</v>
      </c>
      <c r="Y239" t="s">
        <v>14</v>
      </c>
      <c r="AA239">
        <v>74500</v>
      </c>
    </row>
    <row r="240" spans="1:27" x14ac:dyDescent="0.3">
      <c r="A240" t="s">
        <v>528</v>
      </c>
      <c r="C240" t="s">
        <v>815</v>
      </c>
      <c r="E240">
        <v>27100</v>
      </c>
      <c r="G240">
        <v>55</v>
      </c>
      <c r="I240" s="47">
        <v>25895</v>
      </c>
      <c r="J240" s="47"/>
      <c r="K240" t="s">
        <v>539</v>
      </c>
      <c r="M240" t="s">
        <v>536</v>
      </c>
      <c r="O240">
        <v>6800</v>
      </c>
      <c r="Q240">
        <v>12000</v>
      </c>
      <c r="S240" t="s">
        <v>14</v>
      </c>
      <c r="U240">
        <v>6</v>
      </c>
      <c r="Y240" t="s">
        <v>14</v>
      </c>
      <c r="AA240">
        <v>11000</v>
      </c>
    </row>
    <row r="241" spans="1:27" x14ac:dyDescent="0.3">
      <c r="A241" t="s">
        <v>521</v>
      </c>
      <c r="C241" t="s">
        <v>814</v>
      </c>
      <c r="E241" t="s">
        <v>813</v>
      </c>
      <c r="G241">
        <v>25</v>
      </c>
      <c r="I241" s="47">
        <v>37026</v>
      </c>
      <c r="J241" s="47"/>
      <c r="K241" t="s">
        <v>559</v>
      </c>
      <c r="M241" t="s">
        <v>558</v>
      </c>
      <c r="O241">
        <v>28200</v>
      </c>
      <c r="Q241">
        <v>0</v>
      </c>
      <c r="S241" t="s">
        <v>14</v>
      </c>
      <c r="U241">
        <v>29</v>
      </c>
      <c r="Y241" t="s">
        <v>14</v>
      </c>
      <c r="AA241">
        <v>92500</v>
      </c>
    </row>
    <row r="242" spans="1:27" x14ac:dyDescent="0.3">
      <c r="A242" t="s">
        <v>528</v>
      </c>
      <c r="C242" t="s">
        <v>812</v>
      </c>
      <c r="E242">
        <v>34900</v>
      </c>
      <c r="G242" t="s">
        <v>811</v>
      </c>
      <c r="I242">
        <v>34387</v>
      </c>
      <c r="K242" t="s">
        <v>641</v>
      </c>
      <c r="M242" t="s">
        <v>576</v>
      </c>
      <c r="O242">
        <v>20500</v>
      </c>
      <c r="Q242">
        <v>0</v>
      </c>
      <c r="S242" t="s">
        <v>14</v>
      </c>
      <c r="U242" t="s">
        <v>810</v>
      </c>
      <c r="Y242" t="s">
        <v>14</v>
      </c>
      <c r="AA242">
        <v>54500</v>
      </c>
    </row>
    <row r="243" spans="1:27" x14ac:dyDescent="0.3">
      <c r="A243" t="s">
        <v>521</v>
      </c>
      <c r="C243" t="s">
        <v>809</v>
      </c>
      <c r="E243" t="s">
        <v>808</v>
      </c>
      <c r="G243">
        <v>53</v>
      </c>
      <c r="I243">
        <v>26620</v>
      </c>
      <c r="K243" t="s">
        <v>526</v>
      </c>
      <c r="M243" t="s">
        <v>631</v>
      </c>
      <c r="O243" s="48">
        <v>21300</v>
      </c>
      <c r="P243" s="48"/>
      <c r="Q243">
        <v>79500</v>
      </c>
      <c r="S243" t="s">
        <v>14</v>
      </c>
      <c r="U243" t="s">
        <v>807</v>
      </c>
      <c r="Y243" t="s">
        <v>14</v>
      </c>
      <c r="AA243">
        <v>19000</v>
      </c>
    </row>
    <row r="244" spans="1:27" x14ac:dyDescent="0.3">
      <c r="A244" t="s">
        <v>521</v>
      </c>
      <c r="C244" t="s">
        <v>806</v>
      </c>
      <c r="E244" t="s">
        <v>805</v>
      </c>
      <c r="G244">
        <v>69</v>
      </c>
      <c r="I244" s="47">
        <v>20943</v>
      </c>
      <c r="J244" s="47"/>
      <c r="K244" t="s">
        <v>711</v>
      </c>
      <c r="O244">
        <v>13800</v>
      </c>
      <c r="Q244">
        <v>62000</v>
      </c>
      <c r="S244" t="s">
        <v>14</v>
      </c>
      <c r="U244">
        <v>31</v>
      </c>
      <c r="Y244" t="s">
        <v>14</v>
      </c>
      <c r="AA244">
        <v>60500</v>
      </c>
    </row>
    <row r="245" spans="1:27" x14ac:dyDescent="0.3">
      <c r="A245" t="s">
        <v>521</v>
      </c>
      <c r="C245" t="s">
        <v>757</v>
      </c>
      <c r="E245" t="s">
        <v>804</v>
      </c>
      <c r="G245">
        <v>27</v>
      </c>
      <c r="I245">
        <v>36316</v>
      </c>
      <c r="K245" t="s">
        <v>619</v>
      </c>
      <c r="M245" t="s">
        <v>517</v>
      </c>
      <c r="O245" s="46">
        <v>10700</v>
      </c>
      <c r="P245" s="46"/>
      <c r="Q245" t="s">
        <v>803</v>
      </c>
      <c r="S245" t="s">
        <v>14</v>
      </c>
      <c r="U245">
        <v>44</v>
      </c>
      <c r="Y245" t="s">
        <v>14</v>
      </c>
      <c r="AA245">
        <v>48000</v>
      </c>
    </row>
    <row r="246" spans="1:27" x14ac:dyDescent="0.3">
      <c r="A246" t="s">
        <v>521</v>
      </c>
      <c r="C246" t="s">
        <v>648</v>
      </c>
      <c r="E246">
        <v>19300</v>
      </c>
      <c r="G246">
        <v>74</v>
      </c>
      <c r="I246" s="47">
        <v>19131</v>
      </c>
      <c r="J246" s="47"/>
      <c r="K246" t="s">
        <v>587</v>
      </c>
      <c r="M246" t="s">
        <v>624</v>
      </c>
      <c r="O246">
        <v>20700</v>
      </c>
      <c r="Q246" s="48">
        <v>17500</v>
      </c>
      <c r="R246" s="48"/>
      <c r="S246" t="s">
        <v>14</v>
      </c>
      <c r="U246">
        <v>35</v>
      </c>
      <c r="Y246" t="s">
        <v>14</v>
      </c>
      <c r="AA246">
        <v>65000</v>
      </c>
    </row>
    <row r="247" spans="1:27" x14ac:dyDescent="0.3">
      <c r="A247" t="s">
        <v>734</v>
      </c>
      <c r="C247" t="s">
        <v>802</v>
      </c>
      <c r="E247" t="s">
        <v>801</v>
      </c>
      <c r="I247">
        <v>39230</v>
      </c>
      <c r="K247" t="s">
        <v>518</v>
      </c>
      <c r="M247" t="s">
        <v>550</v>
      </c>
      <c r="O247" t="s">
        <v>800</v>
      </c>
      <c r="Q247" s="46">
        <v>49500</v>
      </c>
      <c r="R247" s="46"/>
      <c r="S247" t="s">
        <v>14</v>
      </c>
      <c r="U247">
        <v>25</v>
      </c>
      <c r="Y247" t="s">
        <v>14</v>
      </c>
      <c r="AA247">
        <v>46500</v>
      </c>
    </row>
    <row r="248" spans="1:27" x14ac:dyDescent="0.3">
      <c r="A248" t="s">
        <v>528</v>
      </c>
      <c r="C248" t="s">
        <v>799</v>
      </c>
      <c r="E248" t="s">
        <v>798</v>
      </c>
      <c r="G248">
        <v>26</v>
      </c>
      <c r="I248">
        <v>36540</v>
      </c>
      <c r="K248" t="s">
        <v>625</v>
      </c>
      <c r="M248" t="s">
        <v>18</v>
      </c>
      <c r="O248">
        <v>24000</v>
      </c>
      <c r="Q248" t="s">
        <v>797</v>
      </c>
      <c r="S248" t="s">
        <v>14</v>
      </c>
      <c r="U248">
        <v>30</v>
      </c>
      <c r="Y248" t="s">
        <v>14</v>
      </c>
      <c r="AA248">
        <v>11500</v>
      </c>
    </row>
    <row r="249" spans="1:27" x14ac:dyDescent="0.3">
      <c r="A249" t="s">
        <v>521</v>
      </c>
      <c r="C249" t="s">
        <v>796</v>
      </c>
      <c r="E249" t="s">
        <v>795</v>
      </c>
      <c r="G249">
        <v>47</v>
      </c>
      <c r="I249" s="47">
        <v>28841</v>
      </c>
      <c r="J249" s="47"/>
      <c r="K249" t="s">
        <v>556</v>
      </c>
      <c r="M249" t="s">
        <v>556</v>
      </c>
      <c r="O249" t="s">
        <v>794</v>
      </c>
      <c r="Q249" s="46">
        <v>62000</v>
      </c>
      <c r="R249" s="46"/>
      <c r="S249" t="s">
        <v>13</v>
      </c>
      <c r="U249">
        <v>37</v>
      </c>
      <c r="Y249" t="s">
        <v>13</v>
      </c>
      <c r="AA249">
        <v>92500</v>
      </c>
    </row>
    <row r="250" spans="1:27" x14ac:dyDescent="0.3">
      <c r="A250" t="s">
        <v>521</v>
      </c>
      <c r="C250" t="s">
        <v>793</v>
      </c>
      <c r="E250" t="s">
        <v>792</v>
      </c>
      <c r="G250">
        <v>34</v>
      </c>
      <c r="I250">
        <v>33746</v>
      </c>
      <c r="K250" t="s">
        <v>556</v>
      </c>
      <c r="M250" t="s">
        <v>556</v>
      </c>
      <c r="O250">
        <v>28900</v>
      </c>
      <c r="Q250">
        <v>37000</v>
      </c>
      <c r="S250" t="s">
        <v>14</v>
      </c>
      <c r="U250">
        <v>21</v>
      </c>
      <c r="Y250" t="s">
        <v>14</v>
      </c>
      <c r="AA250">
        <v>97500</v>
      </c>
    </row>
    <row r="251" spans="1:27" x14ac:dyDescent="0.3">
      <c r="A251" t="s">
        <v>521</v>
      </c>
      <c r="C251" t="s">
        <v>791</v>
      </c>
      <c r="E251" t="s">
        <v>790</v>
      </c>
      <c r="G251">
        <v>30</v>
      </c>
      <c r="I251" s="47">
        <v>35180</v>
      </c>
      <c r="J251" s="47"/>
      <c r="K251" t="s">
        <v>567</v>
      </c>
      <c r="M251" t="s">
        <v>576</v>
      </c>
      <c r="O251" s="48">
        <v>13800</v>
      </c>
      <c r="P251" s="48"/>
      <c r="Q251">
        <v>42000</v>
      </c>
      <c r="U251">
        <v>29</v>
      </c>
      <c r="AA251">
        <v>7000</v>
      </c>
    </row>
    <row r="252" spans="1:27" x14ac:dyDescent="0.3">
      <c r="A252" t="s">
        <v>528</v>
      </c>
      <c r="C252" t="s">
        <v>789</v>
      </c>
      <c r="E252" t="s">
        <v>788</v>
      </c>
      <c r="G252">
        <v>67</v>
      </c>
      <c r="I252" s="47">
        <v>21674</v>
      </c>
      <c r="J252" s="47"/>
      <c r="K252" t="s">
        <v>601</v>
      </c>
      <c r="M252" t="s">
        <v>686</v>
      </c>
      <c r="O252">
        <v>15200</v>
      </c>
      <c r="Q252">
        <v>67500</v>
      </c>
      <c r="S252" t="s">
        <v>14</v>
      </c>
      <c r="U252">
        <v>12</v>
      </c>
      <c r="Y252" t="s">
        <v>14</v>
      </c>
      <c r="AA252">
        <v>97500</v>
      </c>
    </row>
    <row r="253" spans="1:27" x14ac:dyDescent="0.3">
      <c r="A253" t="s">
        <v>521</v>
      </c>
      <c r="C253" t="s">
        <v>787</v>
      </c>
      <c r="E253" t="s">
        <v>786</v>
      </c>
      <c r="G253">
        <v>59</v>
      </c>
      <c r="I253" s="47">
        <v>24578</v>
      </c>
      <c r="J253" s="47"/>
      <c r="K253" t="s">
        <v>601</v>
      </c>
      <c r="O253">
        <v>6600</v>
      </c>
      <c r="Q253">
        <v>50000</v>
      </c>
      <c r="S253" t="s">
        <v>13</v>
      </c>
      <c r="U253">
        <v>9</v>
      </c>
      <c r="Y253" t="s">
        <v>13</v>
      </c>
      <c r="AA253">
        <v>25000</v>
      </c>
    </row>
    <row r="254" spans="1:27" x14ac:dyDescent="0.3">
      <c r="A254" t="s">
        <v>528</v>
      </c>
      <c r="C254" t="s">
        <v>785</v>
      </c>
      <c r="E254">
        <v>24300</v>
      </c>
      <c r="G254">
        <v>25</v>
      </c>
      <c r="I254">
        <v>37131</v>
      </c>
      <c r="K254" t="s">
        <v>573</v>
      </c>
      <c r="M254" t="s">
        <v>572</v>
      </c>
      <c r="O254" s="48">
        <v>24500</v>
      </c>
      <c r="P254" s="48"/>
      <c r="Q254" t="s">
        <v>130</v>
      </c>
      <c r="S254">
        <v>0</v>
      </c>
      <c r="U254">
        <v>0</v>
      </c>
      <c r="Y254">
        <v>0</v>
      </c>
      <c r="AA254">
        <v>55000</v>
      </c>
    </row>
    <row r="255" spans="1:27" x14ac:dyDescent="0.3">
      <c r="A255" t="s">
        <v>521</v>
      </c>
      <c r="C255" t="s">
        <v>784</v>
      </c>
      <c r="E255" t="s">
        <v>783</v>
      </c>
      <c r="I255">
        <v>32796</v>
      </c>
      <c r="K255" t="s">
        <v>625</v>
      </c>
      <c r="M255" t="s">
        <v>586</v>
      </c>
      <c r="O255">
        <v>28600</v>
      </c>
      <c r="S255" t="s">
        <v>14</v>
      </c>
      <c r="U255">
        <v>19</v>
      </c>
      <c r="Y255" t="s">
        <v>14</v>
      </c>
      <c r="AA255">
        <v>90000</v>
      </c>
    </row>
    <row r="256" spans="1:27" x14ac:dyDescent="0.3">
      <c r="A256" t="s">
        <v>528</v>
      </c>
      <c r="C256" t="s">
        <v>782</v>
      </c>
      <c r="E256" t="s">
        <v>781</v>
      </c>
      <c r="G256">
        <v>36</v>
      </c>
      <c r="I256">
        <v>32914</v>
      </c>
      <c r="K256" t="s">
        <v>601</v>
      </c>
      <c r="M256" t="s">
        <v>686</v>
      </c>
      <c r="O256">
        <v>27600</v>
      </c>
      <c r="Q256">
        <v>37000</v>
      </c>
      <c r="S256" t="s">
        <v>14</v>
      </c>
      <c r="U256">
        <v>15</v>
      </c>
      <c r="Y256" t="s">
        <v>14</v>
      </c>
      <c r="AA256">
        <v>41500</v>
      </c>
    </row>
    <row r="257" spans="1:27" x14ac:dyDescent="0.3">
      <c r="A257" t="s">
        <v>528</v>
      </c>
      <c r="C257" t="s">
        <v>780</v>
      </c>
      <c r="E257">
        <v>17100</v>
      </c>
      <c r="G257">
        <v>45</v>
      </c>
      <c r="I257">
        <v>29506</v>
      </c>
      <c r="K257" t="s">
        <v>559</v>
      </c>
      <c r="M257" t="s">
        <v>558</v>
      </c>
      <c r="O257">
        <v>5100</v>
      </c>
      <c r="Q257" s="48">
        <v>25000</v>
      </c>
      <c r="R257" s="48"/>
      <c r="S257" t="s">
        <v>14</v>
      </c>
      <c r="U257">
        <v>29</v>
      </c>
      <c r="Y257" t="s">
        <v>14</v>
      </c>
      <c r="AA257">
        <v>88000</v>
      </c>
    </row>
    <row r="258" spans="1:27" x14ac:dyDescent="0.3">
      <c r="A258" t="s">
        <v>171</v>
      </c>
      <c r="C258" t="s">
        <v>779</v>
      </c>
      <c r="E258" t="s">
        <v>778</v>
      </c>
      <c r="G258">
        <v>56</v>
      </c>
      <c r="I258">
        <v>25551</v>
      </c>
      <c r="K258" t="s">
        <v>556</v>
      </c>
      <c r="M258" t="s">
        <v>556</v>
      </c>
      <c r="O258" s="46">
        <v>22600</v>
      </c>
      <c r="P258" s="46"/>
      <c r="Q258">
        <v>63000</v>
      </c>
      <c r="S258" t="s">
        <v>14</v>
      </c>
      <c r="U258">
        <v>33</v>
      </c>
      <c r="Y258" t="s">
        <v>14</v>
      </c>
      <c r="AA258">
        <v>53000</v>
      </c>
    </row>
    <row r="259" spans="1:27" x14ac:dyDescent="0.3">
      <c r="A259" t="s">
        <v>521</v>
      </c>
      <c r="C259" t="s">
        <v>777</v>
      </c>
      <c r="E259" t="s">
        <v>776</v>
      </c>
      <c r="G259">
        <v>47</v>
      </c>
      <c r="I259" s="47">
        <v>29007</v>
      </c>
      <c r="J259" s="47"/>
      <c r="K259" t="s">
        <v>539</v>
      </c>
      <c r="M259" t="s">
        <v>536</v>
      </c>
      <c r="O259">
        <v>5000</v>
      </c>
      <c r="Q259" s="46">
        <v>75500</v>
      </c>
      <c r="R259" s="46"/>
      <c r="S259" t="s">
        <v>13</v>
      </c>
      <c r="U259">
        <v>2</v>
      </c>
      <c r="Y259" t="s">
        <v>13</v>
      </c>
      <c r="AA259">
        <v>89500</v>
      </c>
    </row>
    <row r="260" spans="1:27" x14ac:dyDescent="0.3">
      <c r="A260" t="s">
        <v>521</v>
      </c>
      <c r="C260" t="s">
        <v>775</v>
      </c>
      <c r="E260" t="s">
        <v>774</v>
      </c>
      <c r="G260">
        <v>44</v>
      </c>
      <c r="I260" s="47">
        <v>30069</v>
      </c>
      <c r="J260" s="47"/>
      <c r="K260" t="s">
        <v>595</v>
      </c>
      <c r="M260" t="s">
        <v>597</v>
      </c>
      <c r="O260">
        <v>21700</v>
      </c>
      <c r="Q260">
        <v>34500</v>
      </c>
      <c r="S260" t="s">
        <v>695</v>
      </c>
      <c r="U260">
        <v>29</v>
      </c>
      <c r="Y260" t="s">
        <v>695</v>
      </c>
      <c r="AA260">
        <v>10500</v>
      </c>
    </row>
    <row r="261" spans="1:27" x14ac:dyDescent="0.3">
      <c r="A261" t="s">
        <v>521</v>
      </c>
      <c r="C261" t="s">
        <v>773</v>
      </c>
      <c r="E261">
        <v>15900</v>
      </c>
      <c r="G261">
        <v>26</v>
      </c>
      <c r="I261" s="47">
        <v>36411</v>
      </c>
      <c r="J261" s="47"/>
      <c r="K261" t="s">
        <v>595</v>
      </c>
      <c r="M261" t="s">
        <v>597</v>
      </c>
      <c r="O261" t="s">
        <v>772</v>
      </c>
      <c r="Q261" s="48">
        <v>68500</v>
      </c>
      <c r="R261" s="48"/>
      <c r="S261" t="s">
        <v>14</v>
      </c>
      <c r="U261">
        <v>27</v>
      </c>
      <c r="Y261" t="s">
        <v>14</v>
      </c>
      <c r="AA261">
        <v>7000</v>
      </c>
    </row>
    <row r="262" spans="1:27" x14ac:dyDescent="0.3">
      <c r="A262" t="s">
        <v>528</v>
      </c>
      <c r="C262" t="s">
        <v>42</v>
      </c>
      <c r="E262" t="s">
        <v>771</v>
      </c>
      <c r="G262">
        <v>49</v>
      </c>
      <c r="I262" s="47">
        <v>28286</v>
      </c>
      <c r="J262" s="47"/>
      <c r="K262" t="s">
        <v>564</v>
      </c>
      <c r="M262" t="s">
        <v>770</v>
      </c>
      <c r="O262">
        <v>21900</v>
      </c>
      <c r="Q262">
        <v>69000</v>
      </c>
      <c r="S262" t="s">
        <v>14</v>
      </c>
      <c r="U262" t="s">
        <v>616</v>
      </c>
      <c r="Y262" t="s">
        <v>14</v>
      </c>
      <c r="AA262">
        <v>80500</v>
      </c>
    </row>
    <row r="263" spans="1:27" x14ac:dyDescent="0.3">
      <c r="A263" t="s">
        <v>521</v>
      </c>
      <c r="C263" t="s">
        <v>769</v>
      </c>
      <c r="E263" t="s">
        <v>768</v>
      </c>
      <c r="G263">
        <v>71</v>
      </c>
      <c r="I263">
        <v>20187</v>
      </c>
      <c r="K263" t="s">
        <v>533</v>
      </c>
      <c r="M263" t="s">
        <v>536</v>
      </c>
      <c r="O263">
        <v>29200</v>
      </c>
      <c r="Q263">
        <v>73500</v>
      </c>
      <c r="S263" t="s">
        <v>14</v>
      </c>
      <c r="U263">
        <v>2</v>
      </c>
      <c r="Y263" t="s">
        <v>14</v>
      </c>
      <c r="AA263">
        <v>33000</v>
      </c>
    </row>
    <row r="264" spans="1:27" x14ac:dyDescent="0.3">
      <c r="A264" t="s">
        <v>521</v>
      </c>
      <c r="C264" t="s">
        <v>767</v>
      </c>
      <c r="E264" t="s">
        <v>766</v>
      </c>
      <c r="G264">
        <v>65</v>
      </c>
      <c r="I264">
        <v>22314</v>
      </c>
      <c r="K264" t="s">
        <v>569</v>
      </c>
      <c r="M264" t="s">
        <v>657</v>
      </c>
      <c r="O264">
        <v>6100</v>
      </c>
      <c r="Q264">
        <v>40000</v>
      </c>
      <c r="S264" t="s">
        <v>14</v>
      </c>
      <c r="U264" t="s">
        <v>765</v>
      </c>
      <c r="Y264" t="s">
        <v>14</v>
      </c>
      <c r="AA264">
        <v>22500</v>
      </c>
    </row>
    <row r="265" spans="1:27" x14ac:dyDescent="0.3">
      <c r="A265" t="s">
        <v>521</v>
      </c>
      <c r="C265" t="s">
        <v>764</v>
      </c>
      <c r="E265" t="s">
        <v>763</v>
      </c>
      <c r="G265">
        <v>65</v>
      </c>
      <c r="I265">
        <v>22297</v>
      </c>
      <c r="K265" t="s">
        <v>573</v>
      </c>
      <c r="M265" t="s">
        <v>572</v>
      </c>
      <c r="O265" s="46">
        <v>27300</v>
      </c>
      <c r="P265" s="46"/>
      <c r="Q265">
        <v>48500</v>
      </c>
      <c r="S265" t="s">
        <v>14</v>
      </c>
      <c r="U265">
        <v>29</v>
      </c>
      <c r="Y265" t="s">
        <v>14</v>
      </c>
      <c r="AA265">
        <v>94000</v>
      </c>
    </row>
    <row r="266" spans="1:27" x14ac:dyDescent="0.3">
      <c r="A266" t="s">
        <v>521</v>
      </c>
      <c r="C266" t="s">
        <v>762</v>
      </c>
      <c r="E266" t="s">
        <v>761</v>
      </c>
      <c r="G266">
        <v>57</v>
      </c>
      <c r="I266">
        <v>25350</v>
      </c>
      <c r="K266" t="s">
        <v>543</v>
      </c>
      <c r="M266" t="s">
        <v>597</v>
      </c>
      <c r="O266">
        <v>20600</v>
      </c>
      <c r="Q266">
        <v>52500</v>
      </c>
      <c r="U266">
        <v>16</v>
      </c>
      <c r="AA266">
        <v>97000</v>
      </c>
    </row>
    <row r="267" spans="1:27" x14ac:dyDescent="0.3">
      <c r="A267" t="s">
        <v>521</v>
      </c>
      <c r="C267" t="s">
        <v>760</v>
      </c>
      <c r="E267">
        <v>2800</v>
      </c>
      <c r="G267">
        <v>24</v>
      </c>
      <c r="I267">
        <v>37470</v>
      </c>
      <c r="K267" t="s">
        <v>559</v>
      </c>
      <c r="M267" t="s">
        <v>621</v>
      </c>
      <c r="O267">
        <v>16900</v>
      </c>
      <c r="Q267">
        <v>42500</v>
      </c>
      <c r="S267" t="s">
        <v>13</v>
      </c>
      <c r="U267" t="s">
        <v>679</v>
      </c>
      <c r="Y267" t="s">
        <v>13</v>
      </c>
      <c r="AA267">
        <v>12500</v>
      </c>
    </row>
    <row r="268" spans="1:27" x14ac:dyDescent="0.3">
      <c r="A268" t="s">
        <v>528</v>
      </c>
      <c r="C268" t="s">
        <v>759</v>
      </c>
      <c r="E268" t="s">
        <v>758</v>
      </c>
      <c r="G268">
        <v>55</v>
      </c>
      <c r="I268" s="47">
        <v>25848</v>
      </c>
      <c r="J268" s="47"/>
      <c r="K268" t="s">
        <v>539</v>
      </c>
      <c r="M268" t="s">
        <v>536</v>
      </c>
      <c r="Q268">
        <v>5000</v>
      </c>
      <c r="S268" t="s">
        <v>14</v>
      </c>
      <c r="U268">
        <v>8</v>
      </c>
      <c r="Y268" t="s">
        <v>14</v>
      </c>
      <c r="AA268">
        <v>11000</v>
      </c>
    </row>
    <row r="269" spans="1:27" x14ac:dyDescent="0.3">
      <c r="A269" t="s">
        <v>521</v>
      </c>
      <c r="C269" t="s">
        <v>757</v>
      </c>
      <c r="E269" t="s">
        <v>756</v>
      </c>
      <c r="G269">
        <v>67</v>
      </c>
      <c r="I269" s="47">
        <v>21573</v>
      </c>
      <c r="J269" s="47"/>
      <c r="K269" t="s">
        <v>601</v>
      </c>
      <c r="M269" t="s">
        <v>600</v>
      </c>
      <c r="O269">
        <v>6400</v>
      </c>
      <c r="Q269">
        <v>1000</v>
      </c>
      <c r="S269" t="s">
        <v>695</v>
      </c>
      <c r="U269">
        <v>27</v>
      </c>
      <c r="Y269" t="s">
        <v>695</v>
      </c>
      <c r="AA269">
        <v>50000</v>
      </c>
    </row>
    <row r="270" spans="1:27" x14ac:dyDescent="0.3">
      <c r="A270" t="s">
        <v>521</v>
      </c>
      <c r="C270" t="s">
        <v>755</v>
      </c>
      <c r="E270">
        <v>15600</v>
      </c>
      <c r="G270">
        <v>44</v>
      </c>
      <c r="I270">
        <v>29843</v>
      </c>
      <c r="K270" t="s">
        <v>625</v>
      </c>
      <c r="M270" t="s">
        <v>586</v>
      </c>
      <c r="O270">
        <v>11300</v>
      </c>
      <c r="Q270">
        <v>55000</v>
      </c>
      <c r="S270" t="s">
        <v>14</v>
      </c>
      <c r="U270">
        <v>38</v>
      </c>
      <c r="Y270" t="s">
        <v>14</v>
      </c>
      <c r="AA270">
        <v>68500</v>
      </c>
    </row>
    <row r="271" spans="1:27" x14ac:dyDescent="0.3">
      <c r="A271" t="s">
        <v>521</v>
      </c>
      <c r="C271" t="s">
        <v>754</v>
      </c>
      <c r="E271" t="s">
        <v>753</v>
      </c>
      <c r="G271">
        <v>33</v>
      </c>
      <c r="I271">
        <v>34070</v>
      </c>
      <c r="K271" t="s">
        <v>559</v>
      </c>
      <c r="M271" t="s">
        <v>621</v>
      </c>
      <c r="O271">
        <v>29300</v>
      </c>
      <c r="Q271">
        <v>69000</v>
      </c>
      <c r="S271" t="s">
        <v>13</v>
      </c>
      <c r="U271">
        <v>0</v>
      </c>
      <c r="Y271" t="s">
        <v>13</v>
      </c>
      <c r="AA271">
        <v>4500</v>
      </c>
    </row>
    <row r="272" spans="1:27" x14ac:dyDescent="0.3">
      <c r="A272" t="s">
        <v>521</v>
      </c>
      <c r="C272" t="s">
        <v>752</v>
      </c>
      <c r="E272" t="s">
        <v>751</v>
      </c>
      <c r="G272">
        <v>24</v>
      </c>
      <c r="I272">
        <v>37394</v>
      </c>
      <c r="K272" t="s">
        <v>750</v>
      </c>
      <c r="O272">
        <v>14200</v>
      </c>
      <c r="Q272">
        <v>71000</v>
      </c>
      <c r="S272" t="s">
        <v>14</v>
      </c>
      <c r="U272">
        <v>10</v>
      </c>
      <c r="Y272" t="s">
        <v>14</v>
      </c>
      <c r="AA272">
        <v>91500</v>
      </c>
    </row>
    <row r="273" spans="1:27" x14ac:dyDescent="0.3">
      <c r="A273" t="s">
        <v>521</v>
      </c>
      <c r="C273" t="s">
        <v>749</v>
      </c>
      <c r="E273">
        <v>31900</v>
      </c>
      <c r="G273">
        <v>20</v>
      </c>
      <c r="I273">
        <v>38678</v>
      </c>
      <c r="K273" t="s">
        <v>533</v>
      </c>
      <c r="M273" t="s">
        <v>536</v>
      </c>
      <c r="O273" s="46">
        <v>9300</v>
      </c>
      <c r="P273" s="46"/>
      <c r="Q273" s="46">
        <v>35000</v>
      </c>
      <c r="R273" s="46"/>
      <c r="S273" t="s">
        <v>14</v>
      </c>
      <c r="U273">
        <v>5</v>
      </c>
      <c r="Y273" t="s">
        <v>14</v>
      </c>
      <c r="AA273">
        <v>10500</v>
      </c>
    </row>
    <row r="274" spans="1:27" x14ac:dyDescent="0.3">
      <c r="A274" t="s">
        <v>528</v>
      </c>
      <c r="C274" t="s">
        <v>748</v>
      </c>
      <c r="E274" t="s">
        <v>747</v>
      </c>
      <c r="G274">
        <v>20</v>
      </c>
      <c r="I274" s="47">
        <v>38704</v>
      </c>
      <c r="J274" s="47"/>
      <c r="K274" t="s">
        <v>559</v>
      </c>
      <c r="M274" t="s">
        <v>15</v>
      </c>
      <c r="O274">
        <v>12900</v>
      </c>
      <c r="Q274" s="48">
        <v>26500</v>
      </c>
      <c r="R274" s="48"/>
      <c r="S274" t="s">
        <v>14</v>
      </c>
      <c r="U274">
        <v>13</v>
      </c>
      <c r="Y274" t="s">
        <v>14</v>
      </c>
      <c r="AA274">
        <v>2000</v>
      </c>
    </row>
    <row r="275" spans="1:27" x14ac:dyDescent="0.3">
      <c r="A275" t="s">
        <v>521</v>
      </c>
      <c r="C275" t="s">
        <v>746</v>
      </c>
      <c r="E275" t="s">
        <v>745</v>
      </c>
      <c r="I275">
        <v>36337</v>
      </c>
      <c r="K275" t="s">
        <v>577</v>
      </c>
      <c r="M275" t="s">
        <v>576</v>
      </c>
      <c r="O275">
        <v>22500</v>
      </c>
      <c r="Q275">
        <v>55500</v>
      </c>
      <c r="S275" t="s">
        <v>14</v>
      </c>
      <c r="U275">
        <v>32</v>
      </c>
      <c r="Y275" t="s">
        <v>14</v>
      </c>
      <c r="AA275">
        <v>91500</v>
      </c>
    </row>
    <row r="276" spans="1:27" x14ac:dyDescent="0.3">
      <c r="A276" t="s">
        <v>521</v>
      </c>
      <c r="C276" t="s">
        <v>744</v>
      </c>
      <c r="E276">
        <v>29500</v>
      </c>
      <c r="G276">
        <v>68</v>
      </c>
      <c r="I276" s="47">
        <v>21079</v>
      </c>
      <c r="J276" s="47"/>
      <c r="K276" t="s">
        <v>601</v>
      </c>
      <c r="M276" t="s">
        <v>25</v>
      </c>
      <c r="O276" t="s">
        <v>743</v>
      </c>
      <c r="Q276">
        <v>64500</v>
      </c>
      <c r="S276" t="s">
        <v>13</v>
      </c>
      <c r="U276">
        <v>32</v>
      </c>
      <c r="Y276" t="s">
        <v>13</v>
      </c>
      <c r="AA276">
        <v>35500</v>
      </c>
    </row>
    <row r="277" spans="1:27" x14ac:dyDescent="0.3">
      <c r="A277" t="s">
        <v>521</v>
      </c>
      <c r="C277" t="s">
        <v>713</v>
      </c>
      <c r="E277" t="s">
        <v>742</v>
      </c>
      <c r="G277">
        <v>53</v>
      </c>
      <c r="I277" s="47">
        <v>26558</v>
      </c>
      <c r="J277" s="47"/>
      <c r="K277" t="s">
        <v>625</v>
      </c>
      <c r="M277" t="s">
        <v>18</v>
      </c>
      <c r="O277">
        <v>15500</v>
      </c>
      <c r="S277" t="s">
        <v>14</v>
      </c>
      <c r="U277">
        <v>16</v>
      </c>
      <c r="Y277" t="s">
        <v>14</v>
      </c>
      <c r="AA277">
        <v>41000</v>
      </c>
    </row>
    <row r="278" spans="1:27" x14ac:dyDescent="0.3">
      <c r="A278" t="s">
        <v>521</v>
      </c>
      <c r="C278" t="s">
        <v>741</v>
      </c>
      <c r="E278" t="s">
        <v>740</v>
      </c>
      <c r="G278">
        <v>62</v>
      </c>
      <c r="K278" t="s">
        <v>518</v>
      </c>
      <c r="M278" t="s">
        <v>550</v>
      </c>
      <c r="O278">
        <v>1900</v>
      </c>
      <c r="Q278">
        <v>3500</v>
      </c>
      <c r="S278" t="s">
        <v>14</v>
      </c>
      <c r="U278">
        <v>19</v>
      </c>
      <c r="Y278" t="s">
        <v>14</v>
      </c>
      <c r="AA278">
        <v>62000</v>
      </c>
    </row>
    <row r="279" spans="1:27" x14ac:dyDescent="0.3">
      <c r="A279" t="s">
        <v>521</v>
      </c>
      <c r="C279" t="s">
        <v>739</v>
      </c>
      <c r="E279" t="s">
        <v>738</v>
      </c>
      <c r="G279">
        <v>61</v>
      </c>
      <c r="I279" s="47">
        <v>23964</v>
      </c>
      <c r="J279" s="47"/>
      <c r="K279" t="s">
        <v>567</v>
      </c>
      <c r="M279" t="s">
        <v>17</v>
      </c>
      <c r="O279">
        <v>7000</v>
      </c>
      <c r="Q279">
        <v>1500</v>
      </c>
      <c r="S279" t="s">
        <v>13</v>
      </c>
      <c r="U279">
        <v>32</v>
      </c>
      <c r="Y279" t="s">
        <v>13</v>
      </c>
      <c r="AA279">
        <v>53000</v>
      </c>
    </row>
    <row r="280" spans="1:27" x14ac:dyDescent="0.3">
      <c r="A280" t="s">
        <v>521</v>
      </c>
      <c r="C280" t="s">
        <v>737</v>
      </c>
      <c r="E280" t="s">
        <v>736</v>
      </c>
      <c r="G280">
        <v>25</v>
      </c>
      <c r="I280">
        <v>37118</v>
      </c>
      <c r="K280" t="s">
        <v>518</v>
      </c>
      <c r="M280" t="s">
        <v>550</v>
      </c>
      <c r="O280" t="s">
        <v>735</v>
      </c>
      <c r="Q280">
        <v>1500</v>
      </c>
      <c r="S280">
        <v>1</v>
      </c>
      <c r="U280">
        <v>33</v>
      </c>
      <c r="Y280">
        <v>1</v>
      </c>
      <c r="AA280">
        <v>14000</v>
      </c>
    </row>
    <row r="281" spans="1:27" x14ac:dyDescent="0.3">
      <c r="A281" t="s">
        <v>734</v>
      </c>
      <c r="C281" t="s">
        <v>665</v>
      </c>
      <c r="E281" t="s">
        <v>733</v>
      </c>
      <c r="G281">
        <v>52</v>
      </c>
      <c r="I281">
        <v>27088</v>
      </c>
      <c r="K281" t="s">
        <v>569</v>
      </c>
      <c r="M281" t="s">
        <v>657</v>
      </c>
      <c r="O281">
        <v>24900</v>
      </c>
      <c r="Q281">
        <v>0</v>
      </c>
      <c r="S281" t="s">
        <v>14</v>
      </c>
      <c r="U281" t="s">
        <v>732</v>
      </c>
      <c r="Y281" t="s">
        <v>14</v>
      </c>
      <c r="AA281">
        <v>16000</v>
      </c>
    </row>
    <row r="282" spans="1:27" x14ac:dyDescent="0.3">
      <c r="A282" t="s">
        <v>528</v>
      </c>
      <c r="C282" t="s">
        <v>731</v>
      </c>
      <c r="E282" t="s">
        <v>730</v>
      </c>
      <c r="G282">
        <v>33</v>
      </c>
      <c r="I282">
        <v>33989</v>
      </c>
      <c r="K282" t="s">
        <v>587</v>
      </c>
      <c r="M282" t="s">
        <v>18</v>
      </c>
      <c r="O282">
        <v>23400</v>
      </c>
      <c r="Q282">
        <v>59000</v>
      </c>
      <c r="S282" t="s">
        <v>585</v>
      </c>
      <c r="U282">
        <v>35</v>
      </c>
      <c r="Y282" t="s">
        <v>585</v>
      </c>
      <c r="AA282">
        <v>39000</v>
      </c>
    </row>
    <row r="283" spans="1:27" x14ac:dyDescent="0.3">
      <c r="A283" t="s">
        <v>528</v>
      </c>
      <c r="C283" t="s">
        <v>729</v>
      </c>
      <c r="E283" t="s">
        <v>728</v>
      </c>
      <c r="G283">
        <v>48</v>
      </c>
      <c r="I283">
        <v>28737</v>
      </c>
      <c r="K283" t="s">
        <v>587</v>
      </c>
      <c r="M283" t="s">
        <v>586</v>
      </c>
      <c r="O283">
        <v>12400</v>
      </c>
      <c r="Q283">
        <v>0</v>
      </c>
      <c r="S283" t="s">
        <v>14</v>
      </c>
      <c r="U283">
        <v>25</v>
      </c>
      <c r="Y283" t="s">
        <v>14</v>
      </c>
      <c r="AA283">
        <v>65500</v>
      </c>
    </row>
    <row r="284" spans="1:27" x14ac:dyDescent="0.3">
      <c r="A284" t="s">
        <v>528</v>
      </c>
      <c r="C284" t="s">
        <v>727</v>
      </c>
      <c r="E284" t="s">
        <v>726</v>
      </c>
      <c r="G284">
        <v>55</v>
      </c>
      <c r="I284" s="47">
        <v>26142</v>
      </c>
      <c r="J284" s="47"/>
      <c r="K284" t="s">
        <v>526</v>
      </c>
      <c r="M284" t="s">
        <v>36</v>
      </c>
      <c r="O284" t="s">
        <v>725</v>
      </c>
      <c r="Q284" t="s">
        <v>724</v>
      </c>
      <c r="S284" t="s">
        <v>13</v>
      </c>
      <c r="U284">
        <v>14</v>
      </c>
      <c r="Y284" t="s">
        <v>13</v>
      </c>
      <c r="AA284">
        <v>27000</v>
      </c>
    </row>
    <row r="285" spans="1:27" x14ac:dyDescent="0.3">
      <c r="A285" t="s">
        <v>521</v>
      </c>
      <c r="C285" t="s">
        <v>723</v>
      </c>
      <c r="E285" t="s">
        <v>722</v>
      </c>
      <c r="G285">
        <v>28</v>
      </c>
      <c r="K285" t="s">
        <v>533</v>
      </c>
      <c r="M285" t="s">
        <v>536</v>
      </c>
      <c r="O285">
        <v>14500</v>
      </c>
      <c r="Q285">
        <v>39500</v>
      </c>
      <c r="S285" t="s">
        <v>14</v>
      </c>
      <c r="U285">
        <v>18</v>
      </c>
      <c r="Y285" t="s">
        <v>14</v>
      </c>
      <c r="AA285">
        <v>32000</v>
      </c>
    </row>
    <row r="286" spans="1:27" x14ac:dyDescent="0.3">
      <c r="A286" t="s">
        <v>521</v>
      </c>
      <c r="C286" t="s">
        <v>544</v>
      </c>
      <c r="E286" t="s">
        <v>721</v>
      </c>
      <c r="G286">
        <v>52</v>
      </c>
      <c r="I286" s="47">
        <v>26921</v>
      </c>
      <c r="J286" s="47"/>
      <c r="K286" t="s">
        <v>567</v>
      </c>
      <c r="M286" t="s">
        <v>576</v>
      </c>
      <c r="O286">
        <v>7300</v>
      </c>
      <c r="Q286" t="s">
        <v>720</v>
      </c>
      <c r="S286" t="s">
        <v>14</v>
      </c>
      <c r="U286">
        <v>40</v>
      </c>
      <c r="Y286" t="s">
        <v>14</v>
      </c>
      <c r="AA286">
        <v>34500</v>
      </c>
    </row>
    <row r="287" spans="1:27" x14ac:dyDescent="0.3">
      <c r="A287" t="s">
        <v>521</v>
      </c>
      <c r="C287" t="s">
        <v>719</v>
      </c>
      <c r="E287" t="s">
        <v>718</v>
      </c>
      <c r="G287">
        <v>63</v>
      </c>
      <c r="I287" s="47">
        <v>23006</v>
      </c>
      <c r="J287" s="47"/>
      <c r="K287" t="s">
        <v>628</v>
      </c>
      <c r="O287">
        <v>11200</v>
      </c>
      <c r="U287">
        <v>41</v>
      </c>
      <c r="AA287">
        <v>83500</v>
      </c>
    </row>
    <row r="288" spans="1:27" x14ac:dyDescent="0.3">
      <c r="A288" t="s">
        <v>521</v>
      </c>
      <c r="C288" t="s">
        <v>717</v>
      </c>
      <c r="E288" t="s">
        <v>716</v>
      </c>
      <c r="G288">
        <v>53</v>
      </c>
      <c r="I288" s="47">
        <v>26840</v>
      </c>
      <c r="J288" s="47"/>
      <c r="K288" t="s">
        <v>672</v>
      </c>
      <c r="O288">
        <v>9500</v>
      </c>
      <c r="Q288" s="46">
        <v>66500</v>
      </c>
      <c r="R288" s="46"/>
      <c r="S288" t="s">
        <v>13</v>
      </c>
      <c r="U288">
        <v>38</v>
      </c>
      <c r="Y288" t="s">
        <v>13</v>
      </c>
      <c r="AA288">
        <v>42500</v>
      </c>
    </row>
    <row r="289" spans="1:27" x14ac:dyDescent="0.3">
      <c r="A289" t="s">
        <v>521</v>
      </c>
      <c r="C289" t="s">
        <v>715</v>
      </c>
      <c r="E289" t="s">
        <v>714</v>
      </c>
      <c r="G289">
        <v>71</v>
      </c>
      <c r="I289">
        <v>20275</v>
      </c>
      <c r="K289" t="s">
        <v>573</v>
      </c>
      <c r="M289" t="s">
        <v>572</v>
      </c>
      <c r="O289">
        <v>14200</v>
      </c>
      <c r="Q289">
        <v>51000</v>
      </c>
      <c r="S289" t="s">
        <v>14</v>
      </c>
      <c r="U289">
        <v>10</v>
      </c>
      <c r="Y289" t="s">
        <v>14</v>
      </c>
      <c r="AA289">
        <v>90500</v>
      </c>
    </row>
    <row r="290" spans="1:27" x14ac:dyDescent="0.3">
      <c r="A290" t="s">
        <v>521</v>
      </c>
      <c r="C290" t="s">
        <v>713</v>
      </c>
      <c r="E290" t="s">
        <v>712</v>
      </c>
      <c r="G290">
        <v>37</v>
      </c>
      <c r="I290">
        <v>32414</v>
      </c>
      <c r="K290" t="s">
        <v>711</v>
      </c>
      <c r="O290">
        <v>12800</v>
      </c>
      <c r="Q290">
        <v>76500</v>
      </c>
      <c r="S290" t="s">
        <v>14</v>
      </c>
      <c r="U290" t="s">
        <v>710</v>
      </c>
      <c r="Y290" t="s">
        <v>14</v>
      </c>
      <c r="AA290">
        <v>95000</v>
      </c>
    </row>
    <row r="291" spans="1:27" x14ac:dyDescent="0.3">
      <c r="A291" t="s">
        <v>521</v>
      </c>
      <c r="C291" t="s">
        <v>709</v>
      </c>
      <c r="E291" t="s">
        <v>708</v>
      </c>
      <c r="G291">
        <v>22</v>
      </c>
      <c r="I291">
        <v>37936</v>
      </c>
      <c r="K291" t="s">
        <v>526</v>
      </c>
      <c r="M291" t="s">
        <v>631</v>
      </c>
      <c r="O291" s="46">
        <v>4100</v>
      </c>
      <c r="P291" s="46"/>
      <c r="Q291">
        <v>2000</v>
      </c>
      <c r="S291" t="s">
        <v>14</v>
      </c>
      <c r="U291">
        <v>8</v>
      </c>
      <c r="Y291" t="s">
        <v>14</v>
      </c>
      <c r="AA291">
        <v>4000</v>
      </c>
    </row>
    <row r="292" spans="1:27" x14ac:dyDescent="0.3">
      <c r="A292" t="s">
        <v>521</v>
      </c>
      <c r="C292" t="s">
        <v>707</v>
      </c>
      <c r="E292" t="s">
        <v>706</v>
      </c>
      <c r="G292">
        <v>37</v>
      </c>
      <c r="I292">
        <v>32680</v>
      </c>
      <c r="K292" t="s">
        <v>533</v>
      </c>
      <c r="M292" t="s">
        <v>536</v>
      </c>
      <c r="O292">
        <v>28900</v>
      </c>
      <c r="Q292">
        <v>71000</v>
      </c>
      <c r="S292" t="s">
        <v>14</v>
      </c>
      <c r="U292">
        <v>28</v>
      </c>
      <c r="Y292" t="s">
        <v>14</v>
      </c>
      <c r="AA292">
        <v>36500</v>
      </c>
    </row>
    <row r="293" spans="1:27" x14ac:dyDescent="0.3">
      <c r="A293" t="s">
        <v>521</v>
      </c>
      <c r="C293" t="s">
        <v>705</v>
      </c>
      <c r="E293">
        <v>13200</v>
      </c>
      <c r="G293">
        <v>29</v>
      </c>
      <c r="I293">
        <v>35334</v>
      </c>
      <c r="K293" t="s">
        <v>564</v>
      </c>
      <c r="M293" t="s">
        <v>563</v>
      </c>
      <c r="O293">
        <v>19500</v>
      </c>
      <c r="Q293" s="48">
        <v>57000</v>
      </c>
      <c r="R293" s="48"/>
      <c r="S293" t="s">
        <v>14</v>
      </c>
      <c r="U293">
        <v>12</v>
      </c>
      <c r="Y293" t="s">
        <v>14</v>
      </c>
      <c r="AA293">
        <v>20500</v>
      </c>
    </row>
    <row r="294" spans="1:27" x14ac:dyDescent="0.3">
      <c r="A294" t="s">
        <v>521</v>
      </c>
      <c r="C294" t="s">
        <v>704</v>
      </c>
      <c r="E294" t="s">
        <v>703</v>
      </c>
      <c r="G294">
        <v>51</v>
      </c>
      <c r="I294" s="47">
        <v>27421</v>
      </c>
      <c r="J294" s="47"/>
      <c r="K294" t="s">
        <v>556</v>
      </c>
      <c r="M294" t="s">
        <v>556</v>
      </c>
      <c r="O294">
        <v>26000</v>
      </c>
      <c r="Q294">
        <v>47500</v>
      </c>
      <c r="S294" t="s">
        <v>14</v>
      </c>
      <c r="U294">
        <v>45</v>
      </c>
      <c r="Y294" t="s">
        <v>14</v>
      </c>
      <c r="AA294">
        <v>60500</v>
      </c>
    </row>
    <row r="295" spans="1:27" x14ac:dyDescent="0.3">
      <c r="A295" t="s">
        <v>528</v>
      </c>
      <c r="C295" t="s">
        <v>702</v>
      </c>
      <c r="E295" t="s">
        <v>701</v>
      </c>
      <c r="G295">
        <v>74</v>
      </c>
      <c r="I295" s="47">
        <v>19047</v>
      </c>
      <c r="J295" s="47"/>
      <c r="K295" t="s">
        <v>573</v>
      </c>
      <c r="M295" t="s">
        <v>572</v>
      </c>
      <c r="O295">
        <v>24000</v>
      </c>
      <c r="Q295">
        <v>35000</v>
      </c>
      <c r="S295" t="s">
        <v>14</v>
      </c>
      <c r="U295" t="s">
        <v>700</v>
      </c>
      <c r="Y295" t="s">
        <v>14</v>
      </c>
      <c r="AA295">
        <v>29500</v>
      </c>
    </row>
    <row r="296" spans="1:27" x14ac:dyDescent="0.3">
      <c r="A296" t="s">
        <v>521</v>
      </c>
      <c r="C296" t="s">
        <v>699</v>
      </c>
      <c r="E296" t="s">
        <v>698</v>
      </c>
      <c r="G296">
        <v>19</v>
      </c>
      <c r="I296">
        <v>39016</v>
      </c>
      <c r="K296" t="s">
        <v>564</v>
      </c>
      <c r="M296" t="s">
        <v>28</v>
      </c>
      <c r="O296" s="46">
        <v>14900</v>
      </c>
      <c r="P296" s="46"/>
      <c r="Q296">
        <v>17000</v>
      </c>
      <c r="S296" t="s">
        <v>14</v>
      </c>
      <c r="U296">
        <v>20</v>
      </c>
      <c r="Y296" t="s">
        <v>14</v>
      </c>
      <c r="AA296">
        <v>29500</v>
      </c>
    </row>
    <row r="297" spans="1:27" x14ac:dyDescent="0.3">
      <c r="A297" t="s">
        <v>528</v>
      </c>
      <c r="C297" t="s">
        <v>697</v>
      </c>
      <c r="E297">
        <v>32700</v>
      </c>
      <c r="G297">
        <v>57</v>
      </c>
      <c r="I297" s="47">
        <v>25369</v>
      </c>
      <c r="J297" s="47"/>
      <c r="K297" t="s">
        <v>533</v>
      </c>
      <c r="M297" t="s">
        <v>27</v>
      </c>
      <c r="O297">
        <v>28600</v>
      </c>
      <c r="Q297" s="48">
        <v>73500</v>
      </c>
      <c r="R297" s="48"/>
      <c r="S297" t="s">
        <v>14</v>
      </c>
      <c r="U297">
        <v>29</v>
      </c>
      <c r="Y297" t="s">
        <v>14</v>
      </c>
      <c r="AA297">
        <v>93500</v>
      </c>
    </row>
    <row r="298" spans="1:27" x14ac:dyDescent="0.3">
      <c r="A298" t="s">
        <v>528</v>
      </c>
      <c r="C298" t="s">
        <v>43</v>
      </c>
      <c r="E298">
        <v>19200</v>
      </c>
      <c r="G298">
        <v>50</v>
      </c>
      <c r="I298">
        <v>27833</v>
      </c>
      <c r="K298" t="s">
        <v>696</v>
      </c>
      <c r="O298">
        <v>16200</v>
      </c>
      <c r="Q298" s="48">
        <v>25000</v>
      </c>
      <c r="R298" s="48"/>
      <c r="S298" t="s">
        <v>695</v>
      </c>
      <c r="U298">
        <v>26</v>
      </c>
      <c r="Y298" t="s">
        <v>695</v>
      </c>
      <c r="AA298">
        <v>65000</v>
      </c>
    </row>
    <row r="299" spans="1:27" x14ac:dyDescent="0.3">
      <c r="A299" t="s">
        <v>521</v>
      </c>
      <c r="C299" t="s">
        <v>694</v>
      </c>
      <c r="E299">
        <v>28500</v>
      </c>
      <c r="G299" t="s">
        <v>693</v>
      </c>
      <c r="I299">
        <v>31115</v>
      </c>
      <c r="K299" t="s">
        <v>641</v>
      </c>
      <c r="M299" t="s">
        <v>576</v>
      </c>
      <c r="O299">
        <v>23100</v>
      </c>
      <c r="Q299">
        <v>36000</v>
      </c>
      <c r="S299" t="s">
        <v>14</v>
      </c>
      <c r="U299">
        <v>19</v>
      </c>
      <c r="Y299" t="s">
        <v>14</v>
      </c>
      <c r="AA299">
        <v>37500</v>
      </c>
    </row>
    <row r="300" spans="1:27" x14ac:dyDescent="0.3">
      <c r="A300" t="s">
        <v>521</v>
      </c>
      <c r="C300" t="s">
        <v>692</v>
      </c>
      <c r="E300">
        <v>13700</v>
      </c>
      <c r="G300">
        <v>73</v>
      </c>
      <c r="I300" s="47">
        <v>19323</v>
      </c>
      <c r="J300" s="47"/>
      <c r="K300" t="s">
        <v>601</v>
      </c>
      <c r="M300" t="s">
        <v>686</v>
      </c>
      <c r="O300">
        <v>18100</v>
      </c>
      <c r="Q300">
        <v>0</v>
      </c>
      <c r="S300" t="s">
        <v>14</v>
      </c>
      <c r="U300">
        <v>36</v>
      </c>
      <c r="Y300" t="s">
        <v>14</v>
      </c>
      <c r="AA300">
        <v>89000</v>
      </c>
    </row>
    <row r="301" spans="1:27" x14ac:dyDescent="0.3">
      <c r="A301" t="s">
        <v>581</v>
      </c>
      <c r="C301" t="s">
        <v>584</v>
      </c>
      <c r="E301">
        <v>33100</v>
      </c>
      <c r="I301">
        <v>36759</v>
      </c>
      <c r="K301" t="s">
        <v>556</v>
      </c>
      <c r="M301" t="s">
        <v>556</v>
      </c>
      <c r="O301">
        <v>23200</v>
      </c>
      <c r="Q301">
        <v>54500</v>
      </c>
      <c r="S301">
        <v>1</v>
      </c>
      <c r="U301">
        <v>26</v>
      </c>
      <c r="Y301">
        <v>1</v>
      </c>
      <c r="AA301">
        <v>75000</v>
      </c>
    </row>
    <row r="302" spans="1:27" x14ac:dyDescent="0.3">
      <c r="A302" t="s">
        <v>521</v>
      </c>
      <c r="C302" t="s">
        <v>691</v>
      </c>
      <c r="E302" t="s">
        <v>690</v>
      </c>
      <c r="G302">
        <v>25</v>
      </c>
      <c r="I302" s="47">
        <v>36792</v>
      </c>
      <c r="J302" s="47"/>
      <c r="K302" t="s">
        <v>526</v>
      </c>
      <c r="M302" t="s">
        <v>525</v>
      </c>
      <c r="O302">
        <v>22100</v>
      </c>
      <c r="Q302">
        <v>30500</v>
      </c>
      <c r="S302" t="s">
        <v>14</v>
      </c>
      <c r="U302" t="s">
        <v>689</v>
      </c>
      <c r="Y302" t="s">
        <v>14</v>
      </c>
      <c r="AA302">
        <v>48000</v>
      </c>
    </row>
    <row r="303" spans="1:27" x14ac:dyDescent="0.3">
      <c r="A303" t="s">
        <v>171</v>
      </c>
      <c r="C303" t="s">
        <v>688</v>
      </c>
      <c r="E303" t="s">
        <v>687</v>
      </c>
      <c r="G303">
        <v>36</v>
      </c>
      <c r="I303">
        <v>33117</v>
      </c>
      <c r="K303" t="s">
        <v>601</v>
      </c>
      <c r="M303" t="s">
        <v>686</v>
      </c>
      <c r="O303">
        <v>11600</v>
      </c>
      <c r="Q303">
        <v>78500</v>
      </c>
      <c r="S303" t="s">
        <v>14</v>
      </c>
      <c r="U303">
        <v>1</v>
      </c>
      <c r="Y303" t="s">
        <v>14</v>
      </c>
      <c r="AA303">
        <v>42000</v>
      </c>
    </row>
    <row r="304" spans="1:27" x14ac:dyDescent="0.3">
      <c r="A304" t="s">
        <v>528</v>
      </c>
      <c r="C304" t="s">
        <v>685</v>
      </c>
      <c r="E304">
        <v>16600</v>
      </c>
      <c r="G304">
        <v>35</v>
      </c>
      <c r="I304">
        <v>33417</v>
      </c>
      <c r="K304" t="s">
        <v>518</v>
      </c>
      <c r="M304" t="s">
        <v>517</v>
      </c>
      <c r="O304" s="48">
        <v>12400</v>
      </c>
      <c r="P304" s="48"/>
      <c r="Q304">
        <v>0</v>
      </c>
      <c r="S304" t="s">
        <v>14</v>
      </c>
      <c r="U304">
        <v>3</v>
      </c>
      <c r="Y304" t="s">
        <v>14</v>
      </c>
      <c r="AA304">
        <v>83500</v>
      </c>
    </row>
    <row r="305" spans="1:27" x14ac:dyDescent="0.3">
      <c r="A305" t="s">
        <v>521</v>
      </c>
      <c r="C305" t="s">
        <v>684</v>
      </c>
      <c r="E305" t="s">
        <v>683</v>
      </c>
      <c r="G305">
        <v>64</v>
      </c>
      <c r="I305" s="47">
        <v>22845</v>
      </c>
      <c r="J305" s="47"/>
      <c r="K305" t="s">
        <v>530</v>
      </c>
      <c r="M305" t="s">
        <v>566</v>
      </c>
      <c r="O305">
        <v>12700</v>
      </c>
      <c r="Q305">
        <v>0</v>
      </c>
      <c r="S305" t="s">
        <v>14</v>
      </c>
      <c r="U305">
        <v>21</v>
      </c>
      <c r="Y305" t="s">
        <v>14</v>
      </c>
      <c r="AA305">
        <v>50500</v>
      </c>
    </row>
    <row r="306" spans="1:27" x14ac:dyDescent="0.3">
      <c r="A306" t="s">
        <v>521</v>
      </c>
      <c r="C306" t="s">
        <v>682</v>
      </c>
      <c r="E306" t="s">
        <v>681</v>
      </c>
      <c r="G306">
        <v>49</v>
      </c>
      <c r="I306">
        <v>28147</v>
      </c>
      <c r="K306" t="s">
        <v>587</v>
      </c>
      <c r="M306" t="s">
        <v>680</v>
      </c>
      <c r="O306">
        <v>28400</v>
      </c>
      <c r="Q306" s="46">
        <v>38500</v>
      </c>
      <c r="R306" s="46"/>
      <c r="S306" t="s">
        <v>547</v>
      </c>
      <c r="U306" t="s">
        <v>679</v>
      </c>
      <c r="Y306" t="s">
        <v>547</v>
      </c>
      <c r="AA306">
        <v>51000</v>
      </c>
    </row>
    <row r="307" spans="1:27" x14ac:dyDescent="0.3">
      <c r="A307" t="s">
        <v>521</v>
      </c>
      <c r="C307" t="s">
        <v>678</v>
      </c>
      <c r="E307" t="s">
        <v>677</v>
      </c>
      <c r="G307">
        <v>50</v>
      </c>
      <c r="I307" s="47">
        <v>27886</v>
      </c>
      <c r="J307" s="47"/>
      <c r="K307" t="s">
        <v>556</v>
      </c>
      <c r="M307" t="s">
        <v>556</v>
      </c>
      <c r="O307">
        <v>16100</v>
      </c>
      <c r="Q307" s="46">
        <v>8000</v>
      </c>
      <c r="R307" s="46"/>
      <c r="S307" t="s">
        <v>13</v>
      </c>
      <c r="U307">
        <v>30</v>
      </c>
      <c r="Y307" t="s">
        <v>13</v>
      </c>
      <c r="AA307">
        <v>27000</v>
      </c>
    </row>
    <row r="308" spans="1:27" x14ac:dyDescent="0.3">
      <c r="C308" t="s">
        <v>676</v>
      </c>
      <c r="E308" t="s">
        <v>675</v>
      </c>
      <c r="I308" s="47">
        <v>33188</v>
      </c>
      <c r="J308" s="47"/>
      <c r="K308" t="s">
        <v>533</v>
      </c>
      <c r="M308" t="s">
        <v>536</v>
      </c>
      <c r="O308">
        <v>29900</v>
      </c>
      <c r="Q308" s="48">
        <v>64500</v>
      </c>
      <c r="R308" s="48"/>
      <c r="S308" t="s">
        <v>14</v>
      </c>
      <c r="U308">
        <v>34</v>
      </c>
      <c r="Y308" t="s">
        <v>14</v>
      </c>
      <c r="AA308">
        <v>48500</v>
      </c>
    </row>
    <row r="309" spans="1:27" x14ac:dyDescent="0.3">
      <c r="A309" t="s">
        <v>521</v>
      </c>
      <c r="C309" t="s">
        <v>674</v>
      </c>
      <c r="E309" t="s">
        <v>673</v>
      </c>
      <c r="G309">
        <v>39</v>
      </c>
      <c r="I309" s="47">
        <v>31968</v>
      </c>
      <c r="J309" s="47"/>
      <c r="K309" t="s">
        <v>672</v>
      </c>
      <c r="O309">
        <v>8000</v>
      </c>
      <c r="Q309" s="46">
        <v>69000</v>
      </c>
      <c r="R309" s="46"/>
      <c r="S309" t="s">
        <v>14</v>
      </c>
      <c r="U309">
        <v>15</v>
      </c>
      <c r="Y309" t="s">
        <v>14</v>
      </c>
      <c r="AA309">
        <v>39500</v>
      </c>
    </row>
    <row r="310" spans="1:27" x14ac:dyDescent="0.3">
      <c r="A310" t="s">
        <v>171</v>
      </c>
      <c r="C310" t="s">
        <v>671</v>
      </c>
      <c r="E310" t="s">
        <v>670</v>
      </c>
      <c r="G310">
        <v>19</v>
      </c>
      <c r="I310" s="47">
        <v>39003</v>
      </c>
      <c r="J310" s="47"/>
      <c r="K310" t="s">
        <v>567</v>
      </c>
      <c r="M310" t="s">
        <v>576</v>
      </c>
      <c r="O310" t="s">
        <v>669</v>
      </c>
      <c r="Q310" s="46">
        <v>29500</v>
      </c>
      <c r="R310" s="46"/>
      <c r="S310" t="s">
        <v>13</v>
      </c>
      <c r="U310">
        <v>13</v>
      </c>
      <c r="Y310" t="s">
        <v>13</v>
      </c>
      <c r="AA310">
        <v>5000</v>
      </c>
    </row>
    <row r="311" spans="1:27" x14ac:dyDescent="0.3">
      <c r="A311" t="s">
        <v>528</v>
      </c>
      <c r="C311" t="s">
        <v>668</v>
      </c>
      <c r="E311" t="s">
        <v>667</v>
      </c>
      <c r="G311">
        <v>63</v>
      </c>
      <c r="I311" s="47">
        <v>22924</v>
      </c>
      <c r="J311" s="47"/>
      <c r="K311" t="s">
        <v>533</v>
      </c>
      <c r="M311" t="s">
        <v>27</v>
      </c>
      <c r="O311">
        <v>29000</v>
      </c>
      <c r="Q311" s="48">
        <v>36500</v>
      </c>
      <c r="R311" s="48"/>
      <c r="S311" t="s">
        <v>14</v>
      </c>
      <c r="U311">
        <v>38</v>
      </c>
      <c r="Y311" t="s">
        <v>14</v>
      </c>
      <c r="AA311">
        <v>68000</v>
      </c>
    </row>
    <row r="312" spans="1:27" x14ac:dyDescent="0.3">
      <c r="A312" t="s">
        <v>521</v>
      </c>
      <c r="C312" t="s">
        <v>666</v>
      </c>
      <c r="E312">
        <v>17900</v>
      </c>
      <c r="G312">
        <v>44</v>
      </c>
      <c r="I312" s="47">
        <v>29991</v>
      </c>
      <c r="J312" s="47"/>
      <c r="K312" t="s">
        <v>587</v>
      </c>
      <c r="O312">
        <v>6700</v>
      </c>
      <c r="Q312">
        <v>16500</v>
      </c>
      <c r="S312" t="s">
        <v>13</v>
      </c>
      <c r="U312">
        <v>38</v>
      </c>
      <c r="Y312" t="s">
        <v>13</v>
      </c>
      <c r="AA312">
        <v>15500</v>
      </c>
    </row>
    <row r="313" spans="1:27" x14ac:dyDescent="0.3">
      <c r="A313" t="s">
        <v>171</v>
      </c>
      <c r="C313" t="s">
        <v>665</v>
      </c>
      <c r="E313" t="s">
        <v>664</v>
      </c>
      <c r="G313">
        <v>26</v>
      </c>
      <c r="I313">
        <v>36671</v>
      </c>
      <c r="K313" t="s">
        <v>569</v>
      </c>
      <c r="M313" t="s">
        <v>621</v>
      </c>
      <c r="O313">
        <v>25000</v>
      </c>
      <c r="Q313">
        <v>1000</v>
      </c>
      <c r="S313" t="s">
        <v>14</v>
      </c>
      <c r="U313">
        <v>16</v>
      </c>
      <c r="Y313" t="s">
        <v>14</v>
      </c>
      <c r="AA313">
        <v>10500</v>
      </c>
    </row>
    <row r="314" spans="1:27" x14ac:dyDescent="0.3">
      <c r="A314" t="s">
        <v>521</v>
      </c>
      <c r="C314" t="s">
        <v>44</v>
      </c>
      <c r="E314">
        <v>25200</v>
      </c>
      <c r="G314">
        <v>44</v>
      </c>
      <c r="I314" s="47">
        <v>30081</v>
      </c>
      <c r="J314" s="47"/>
      <c r="K314" t="s">
        <v>533</v>
      </c>
      <c r="M314" t="s">
        <v>536</v>
      </c>
      <c r="O314">
        <v>9600</v>
      </c>
      <c r="Q314" s="46">
        <v>66000</v>
      </c>
      <c r="R314" s="46"/>
      <c r="U314">
        <v>11</v>
      </c>
      <c r="AA314">
        <v>4500</v>
      </c>
    </row>
    <row r="315" spans="1:27" x14ac:dyDescent="0.3">
      <c r="A315" t="s">
        <v>521</v>
      </c>
      <c r="C315" t="s">
        <v>663</v>
      </c>
      <c r="E315">
        <v>29900</v>
      </c>
      <c r="G315" t="s">
        <v>662</v>
      </c>
      <c r="K315" t="s">
        <v>641</v>
      </c>
      <c r="M315" t="s">
        <v>576</v>
      </c>
      <c r="O315">
        <v>21300</v>
      </c>
      <c r="Q315">
        <v>60500</v>
      </c>
      <c r="U315">
        <v>15</v>
      </c>
      <c r="AA315">
        <v>74500</v>
      </c>
    </row>
    <row r="316" spans="1:27" x14ac:dyDescent="0.3">
      <c r="A316" t="s">
        <v>521</v>
      </c>
      <c r="C316" t="s">
        <v>661</v>
      </c>
      <c r="E316" t="s">
        <v>660</v>
      </c>
      <c r="G316">
        <v>69</v>
      </c>
      <c r="I316">
        <v>21054</v>
      </c>
      <c r="K316" t="s">
        <v>518</v>
      </c>
      <c r="M316" t="s">
        <v>550</v>
      </c>
      <c r="O316" s="46">
        <v>23800</v>
      </c>
      <c r="P316" s="46"/>
      <c r="Q316" t="s">
        <v>130</v>
      </c>
      <c r="U316">
        <v>26</v>
      </c>
      <c r="AA316">
        <v>89000</v>
      </c>
    </row>
    <row r="317" spans="1:27" x14ac:dyDescent="0.3">
      <c r="A317" t="s">
        <v>521</v>
      </c>
      <c r="C317" t="s">
        <v>659</v>
      </c>
      <c r="E317" t="s">
        <v>658</v>
      </c>
      <c r="G317">
        <v>67</v>
      </c>
      <c r="I317">
        <v>21522</v>
      </c>
      <c r="K317" t="s">
        <v>559</v>
      </c>
      <c r="M317" t="s">
        <v>657</v>
      </c>
      <c r="O317">
        <v>11300</v>
      </c>
      <c r="Q317">
        <v>49500</v>
      </c>
      <c r="S317" t="s">
        <v>14</v>
      </c>
      <c r="U317">
        <v>12</v>
      </c>
      <c r="Y317" t="s">
        <v>14</v>
      </c>
      <c r="AA317">
        <v>34500</v>
      </c>
    </row>
    <row r="318" spans="1:27" x14ac:dyDescent="0.3">
      <c r="A318" t="s">
        <v>521</v>
      </c>
      <c r="C318" t="s">
        <v>656</v>
      </c>
      <c r="E318" t="s">
        <v>655</v>
      </c>
      <c r="G318" t="s">
        <v>654</v>
      </c>
      <c r="I318" s="47">
        <v>27378</v>
      </c>
      <c r="J318" s="47"/>
      <c r="K318" t="s">
        <v>556</v>
      </c>
      <c r="M318" t="s">
        <v>556</v>
      </c>
      <c r="O318" s="48">
        <v>11600</v>
      </c>
      <c r="P318" s="48"/>
      <c r="Q318">
        <v>41000</v>
      </c>
      <c r="S318" t="s">
        <v>14</v>
      </c>
      <c r="U318" t="s">
        <v>653</v>
      </c>
      <c r="Y318" t="s">
        <v>14</v>
      </c>
      <c r="AA318">
        <v>67000</v>
      </c>
    </row>
    <row r="319" spans="1:27" x14ac:dyDescent="0.3">
      <c r="A319" t="s">
        <v>521</v>
      </c>
      <c r="C319" t="s">
        <v>652</v>
      </c>
      <c r="E319" t="s">
        <v>651</v>
      </c>
      <c r="G319">
        <v>49</v>
      </c>
      <c r="I319" s="47">
        <v>28067</v>
      </c>
      <c r="J319" s="47"/>
      <c r="K319" t="s">
        <v>564</v>
      </c>
      <c r="M319" t="s">
        <v>563</v>
      </c>
      <c r="O319">
        <v>29800</v>
      </c>
      <c r="Q319" s="46">
        <v>54500</v>
      </c>
      <c r="R319" s="46"/>
      <c r="S319" t="s">
        <v>14</v>
      </c>
      <c r="U319">
        <v>34</v>
      </c>
      <c r="Y319" t="s">
        <v>14</v>
      </c>
      <c r="AA319">
        <v>72000</v>
      </c>
    </row>
    <row r="320" spans="1:27" x14ac:dyDescent="0.3">
      <c r="A320" t="s">
        <v>521</v>
      </c>
      <c r="C320" t="s">
        <v>650</v>
      </c>
      <c r="E320" t="s">
        <v>649</v>
      </c>
      <c r="G320">
        <v>20</v>
      </c>
      <c r="I320" s="47">
        <v>38957</v>
      </c>
      <c r="J320" s="47"/>
      <c r="K320" t="s">
        <v>530</v>
      </c>
      <c r="M320" t="s">
        <v>576</v>
      </c>
      <c r="O320">
        <v>18200</v>
      </c>
      <c r="S320" t="s">
        <v>14</v>
      </c>
      <c r="U320">
        <v>21</v>
      </c>
      <c r="Y320" t="s">
        <v>14</v>
      </c>
      <c r="AA320">
        <v>61500</v>
      </c>
    </row>
    <row r="321" spans="1:27" x14ac:dyDescent="0.3">
      <c r="A321" t="s">
        <v>521</v>
      </c>
      <c r="C321" t="s">
        <v>648</v>
      </c>
      <c r="E321">
        <v>19300</v>
      </c>
      <c r="G321">
        <v>74</v>
      </c>
      <c r="I321" s="47">
        <v>19131</v>
      </c>
      <c r="J321" s="47"/>
      <c r="K321" t="s">
        <v>587</v>
      </c>
      <c r="M321" t="s">
        <v>624</v>
      </c>
      <c r="O321">
        <v>20700</v>
      </c>
      <c r="Q321" s="48">
        <v>17500</v>
      </c>
      <c r="R321" s="48"/>
      <c r="S321" t="s">
        <v>14</v>
      </c>
      <c r="U321">
        <v>35</v>
      </c>
      <c r="Y321" t="s">
        <v>14</v>
      </c>
      <c r="AA321">
        <v>68500</v>
      </c>
    </row>
    <row r="322" spans="1:27" x14ac:dyDescent="0.3">
      <c r="A322" t="s">
        <v>528</v>
      </c>
      <c r="C322" t="s">
        <v>647</v>
      </c>
      <c r="E322">
        <v>6400</v>
      </c>
      <c r="G322">
        <v>57</v>
      </c>
      <c r="I322">
        <v>25206</v>
      </c>
      <c r="K322" t="s">
        <v>595</v>
      </c>
      <c r="M322" t="s">
        <v>594</v>
      </c>
      <c r="O322">
        <v>3400</v>
      </c>
      <c r="Q322">
        <v>23500</v>
      </c>
      <c r="S322" t="s">
        <v>14</v>
      </c>
      <c r="U322">
        <v>20</v>
      </c>
      <c r="Y322" t="s">
        <v>14</v>
      </c>
      <c r="AA322">
        <v>50500</v>
      </c>
    </row>
    <row r="323" spans="1:27" x14ac:dyDescent="0.3">
      <c r="A323" t="s">
        <v>521</v>
      </c>
      <c r="C323" t="s">
        <v>646</v>
      </c>
      <c r="E323" t="s">
        <v>645</v>
      </c>
      <c r="G323">
        <v>56</v>
      </c>
      <c r="I323">
        <v>25671</v>
      </c>
      <c r="K323" t="s">
        <v>543</v>
      </c>
      <c r="M323" t="s">
        <v>597</v>
      </c>
      <c r="O323">
        <v>28300</v>
      </c>
      <c r="Q323">
        <v>56000</v>
      </c>
      <c r="S323" t="s">
        <v>14</v>
      </c>
      <c r="U323">
        <v>6</v>
      </c>
      <c r="Y323" t="s">
        <v>14</v>
      </c>
      <c r="AA323">
        <v>84500</v>
      </c>
    </row>
    <row r="324" spans="1:27" x14ac:dyDescent="0.3">
      <c r="A324" t="s">
        <v>521</v>
      </c>
      <c r="C324" t="s">
        <v>644</v>
      </c>
      <c r="E324" t="s">
        <v>643</v>
      </c>
      <c r="G324">
        <v>68</v>
      </c>
      <c r="I324" s="47">
        <v>21145</v>
      </c>
      <c r="J324" s="47"/>
      <c r="K324" t="s">
        <v>569</v>
      </c>
      <c r="M324" t="s">
        <v>558</v>
      </c>
      <c r="O324">
        <v>24500</v>
      </c>
      <c r="Q324">
        <v>16500</v>
      </c>
      <c r="S324" t="s">
        <v>14</v>
      </c>
      <c r="U324">
        <v>22</v>
      </c>
      <c r="Y324" t="s">
        <v>14</v>
      </c>
      <c r="AA324">
        <v>34500</v>
      </c>
    </row>
    <row r="325" spans="1:27" x14ac:dyDescent="0.3">
      <c r="A325" t="s">
        <v>528</v>
      </c>
      <c r="C325" t="s">
        <v>45</v>
      </c>
      <c r="E325" t="s">
        <v>642</v>
      </c>
      <c r="G325">
        <v>73</v>
      </c>
      <c r="K325" t="s">
        <v>641</v>
      </c>
      <c r="M325" t="s">
        <v>576</v>
      </c>
      <c r="O325" t="s">
        <v>640</v>
      </c>
      <c r="Q325">
        <v>47000</v>
      </c>
      <c r="S325" t="s">
        <v>14</v>
      </c>
      <c r="U325">
        <v>19</v>
      </c>
      <c r="Y325" t="s">
        <v>14</v>
      </c>
      <c r="AA325">
        <v>20500</v>
      </c>
    </row>
    <row r="326" spans="1:27" x14ac:dyDescent="0.3">
      <c r="A326" t="s">
        <v>521</v>
      </c>
      <c r="C326" t="s">
        <v>633</v>
      </c>
      <c r="E326" t="s">
        <v>639</v>
      </c>
      <c r="G326">
        <v>67</v>
      </c>
      <c r="I326" s="47">
        <v>21497</v>
      </c>
      <c r="J326" s="47"/>
      <c r="K326" t="s">
        <v>638</v>
      </c>
      <c r="O326" t="s">
        <v>637</v>
      </c>
      <c r="Q326" s="48">
        <v>73500</v>
      </c>
      <c r="R326" s="48"/>
      <c r="S326" t="s">
        <v>13</v>
      </c>
      <c r="U326">
        <v>7</v>
      </c>
      <c r="Y326" t="s">
        <v>13</v>
      </c>
      <c r="AA326">
        <v>24500</v>
      </c>
    </row>
    <row r="327" spans="1:27" x14ac:dyDescent="0.3">
      <c r="A327" t="s">
        <v>521</v>
      </c>
      <c r="C327" t="s">
        <v>636</v>
      </c>
      <c r="E327" t="s">
        <v>635</v>
      </c>
      <c r="G327">
        <v>54</v>
      </c>
      <c r="I327" s="47">
        <v>26230</v>
      </c>
      <c r="J327" s="47"/>
      <c r="K327" t="s">
        <v>530</v>
      </c>
      <c r="M327" t="s">
        <v>17</v>
      </c>
      <c r="O327">
        <v>18700</v>
      </c>
      <c r="Q327">
        <v>46000</v>
      </c>
      <c r="S327" t="s">
        <v>13</v>
      </c>
      <c r="U327">
        <v>4</v>
      </c>
      <c r="Y327" t="s">
        <v>13</v>
      </c>
      <c r="AA327">
        <v>27500</v>
      </c>
    </row>
    <row r="328" spans="1:27" x14ac:dyDescent="0.3">
      <c r="A328" t="s">
        <v>521</v>
      </c>
      <c r="C328" t="s">
        <v>634</v>
      </c>
      <c r="E328">
        <v>36900</v>
      </c>
      <c r="G328">
        <v>61</v>
      </c>
      <c r="I328">
        <v>23928</v>
      </c>
      <c r="K328" t="s">
        <v>559</v>
      </c>
      <c r="M328" t="s">
        <v>558</v>
      </c>
      <c r="O328">
        <v>22900</v>
      </c>
      <c r="Q328">
        <v>7500</v>
      </c>
      <c r="S328" t="s">
        <v>14</v>
      </c>
      <c r="U328">
        <v>12</v>
      </c>
      <c r="Y328" t="s">
        <v>14</v>
      </c>
      <c r="AA328">
        <v>33000</v>
      </c>
    </row>
    <row r="329" spans="1:27" x14ac:dyDescent="0.3">
      <c r="A329" t="s">
        <v>521</v>
      </c>
      <c r="C329" t="s">
        <v>633</v>
      </c>
      <c r="E329" t="s">
        <v>632</v>
      </c>
      <c r="G329">
        <v>60</v>
      </c>
      <c r="I329" s="47">
        <v>24054</v>
      </c>
      <c r="J329" s="47"/>
      <c r="K329" t="s">
        <v>526</v>
      </c>
      <c r="M329" t="s">
        <v>631</v>
      </c>
      <c r="O329">
        <v>22600</v>
      </c>
      <c r="Q329" t="s">
        <v>630</v>
      </c>
      <c r="S329" t="s">
        <v>14</v>
      </c>
      <c r="U329">
        <v>9</v>
      </c>
      <c r="Y329" t="s">
        <v>14</v>
      </c>
      <c r="AA329">
        <v>58500</v>
      </c>
    </row>
    <row r="330" spans="1:27" x14ac:dyDescent="0.3">
      <c r="A330" t="s">
        <v>521</v>
      </c>
      <c r="C330" t="s">
        <v>629</v>
      </c>
      <c r="E330">
        <v>36000</v>
      </c>
      <c r="G330">
        <v>26</v>
      </c>
      <c r="I330" s="47">
        <v>36573</v>
      </c>
      <c r="J330" s="47"/>
      <c r="K330" t="s">
        <v>628</v>
      </c>
      <c r="O330">
        <v>4800</v>
      </c>
      <c r="Q330" t="s">
        <v>627</v>
      </c>
      <c r="S330" t="s">
        <v>13</v>
      </c>
      <c r="U330">
        <v>6</v>
      </c>
      <c r="Y330" t="s">
        <v>13</v>
      </c>
      <c r="AA330">
        <v>56500</v>
      </c>
    </row>
    <row r="331" spans="1:27" x14ac:dyDescent="0.3">
      <c r="A331" t="s">
        <v>528</v>
      </c>
      <c r="C331" t="s">
        <v>626</v>
      </c>
      <c r="E331">
        <v>32500</v>
      </c>
      <c r="G331">
        <v>48</v>
      </c>
      <c r="I331">
        <v>28446</v>
      </c>
      <c r="K331" t="s">
        <v>625</v>
      </c>
      <c r="M331" t="s">
        <v>624</v>
      </c>
      <c r="O331">
        <v>6900</v>
      </c>
      <c r="Q331">
        <v>52500</v>
      </c>
      <c r="S331" t="s">
        <v>13</v>
      </c>
      <c r="U331">
        <v>0</v>
      </c>
      <c r="Y331" t="s">
        <v>13</v>
      </c>
      <c r="AA331">
        <v>66000</v>
      </c>
    </row>
    <row r="332" spans="1:27" x14ac:dyDescent="0.3">
      <c r="A332" t="s">
        <v>521</v>
      </c>
      <c r="C332" t="s">
        <v>623</v>
      </c>
      <c r="E332" t="s">
        <v>622</v>
      </c>
      <c r="G332">
        <v>69</v>
      </c>
      <c r="K332" t="s">
        <v>559</v>
      </c>
      <c r="M332" t="s">
        <v>621</v>
      </c>
      <c r="O332">
        <v>11400</v>
      </c>
      <c r="Q332">
        <v>0</v>
      </c>
      <c r="S332" t="s">
        <v>585</v>
      </c>
      <c r="U332">
        <v>13</v>
      </c>
      <c r="Y332" t="s">
        <v>585</v>
      </c>
      <c r="AA332">
        <v>79000</v>
      </c>
    </row>
    <row r="333" spans="1:27" x14ac:dyDescent="0.3">
      <c r="A333" t="s">
        <v>521</v>
      </c>
      <c r="C333" t="s">
        <v>620</v>
      </c>
      <c r="E333">
        <v>22300</v>
      </c>
      <c r="G333">
        <v>25</v>
      </c>
      <c r="I333" s="47">
        <v>36831</v>
      </c>
      <c r="J333" s="47"/>
      <c r="K333" t="s">
        <v>619</v>
      </c>
      <c r="M333" t="s">
        <v>550</v>
      </c>
      <c r="O333" s="46">
        <v>9400</v>
      </c>
      <c r="P333" s="46"/>
      <c r="Q333">
        <v>51500</v>
      </c>
      <c r="S333" t="s">
        <v>14</v>
      </c>
      <c r="U333">
        <v>14</v>
      </c>
      <c r="Y333" t="s">
        <v>14</v>
      </c>
      <c r="AA333">
        <v>74000</v>
      </c>
    </row>
    <row r="334" spans="1:27" x14ac:dyDescent="0.3">
      <c r="A334" t="s">
        <v>521</v>
      </c>
      <c r="C334" t="s">
        <v>618</v>
      </c>
      <c r="E334" t="s">
        <v>617</v>
      </c>
      <c r="G334">
        <v>62</v>
      </c>
      <c r="I334">
        <v>23317</v>
      </c>
      <c r="K334" t="s">
        <v>577</v>
      </c>
      <c r="M334" t="s">
        <v>576</v>
      </c>
      <c r="O334">
        <v>10500</v>
      </c>
      <c r="Q334">
        <v>0</v>
      </c>
      <c r="S334" t="s">
        <v>13</v>
      </c>
      <c r="U334" t="s">
        <v>616</v>
      </c>
      <c r="Y334" t="s">
        <v>13</v>
      </c>
      <c r="AA334">
        <v>54500</v>
      </c>
    </row>
    <row r="335" spans="1:27" x14ac:dyDescent="0.3">
      <c r="A335" t="s">
        <v>521</v>
      </c>
      <c r="C335" t="s">
        <v>615</v>
      </c>
      <c r="E335">
        <v>25700</v>
      </c>
      <c r="G335">
        <v>27</v>
      </c>
      <c r="I335">
        <v>36152</v>
      </c>
      <c r="K335" t="s">
        <v>518</v>
      </c>
      <c r="M335" t="s">
        <v>23</v>
      </c>
      <c r="O335">
        <v>30000</v>
      </c>
      <c r="Q335" s="46">
        <v>27000</v>
      </c>
      <c r="R335" s="46"/>
      <c r="S335" t="s">
        <v>562</v>
      </c>
      <c r="U335">
        <v>28</v>
      </c>
      <c r="Y335" t="s">
        <v>562</v>
      </c>
      <c r="AA335">
        <v>28500</v>
      </c>
    </row>
    <row r="336" spans="1:27" x14ac:dyDescent="0.3">
      <c r="A336" t="s">
        <v>521</v>
      </c>
      <c r="C336" t="s">
        <v>614</v>
      </c>
      <c r="E336" t="s">
        <v>613</v>
      </c>
      <c r="I336" s="47">
        <v>34769</v>
      </c>
      <c r="J336" s="47"/>
      <c r="K336" t="s">
        <v>573</v>
      </c>
      <c r="M336" t="s">
        <v>612</v>
      </c>
      <c r="O336">
        <v>9000</v>
      </c>
      <c r="Q336">
        <v>66000</v>
      </c>
      <c r="S336" t="s">
        <v>14</v>
      </c>
      <c r="U336">
        <v>24</v>
      </c>
      <c r="Y336" t="s">
        <v>14</v>
      </c>
      <c r="AA336">
        <v>72000</v>
      </c>
    </row>
    <row r="337" spans="1:27" x14ac:dyDescent="0.3">
      <c r="A337" t="s">
        <v>528</v>
      </c>
      <c r="C337" t="s">
        <v>611</v>
      </c>
      <c r="E337" t="s">
        <v>610</v>
      </c>
      <c r="G337">
        <v>65</v>
      </c>
      <c r="I337">
        <v>22275</v>
      </c>
      <c r="K337" t="s">
        <v>526</v>
      </c>
      <c r="M337" t="s">
        <v>525</v>
      </c>
      <c r="O337">
        <v>3300</v>
      </c>
      <c r="Q337">
        <v>43500</v>
      </c>
      <c r="S337" t="s">
        <v>14</v>
      </c>
      <c r="U337" t="s">
        <v>609</v>
      </c>
      <c r="Y337" t="s">
        <v>14</v>
      </c>
      <c r="AA337">
        <v>23500</v>
      </c>
    </row>
    <row r="338" spans="1:27" x14ac:dyDescent="0.3">
      <c r="A338" t="s">
        <v>521</v>
      </c>
      <c r="C338" t="s">
        <v>608</v>
      </c>
      <c r="E338" t="s">
        <v>607</v>
      </c>
      <c r="G338">
        <v>29</v>
      </c>
      <c r="I338" s="47">
        <v>35392</v>
      </c>
      <c r="J338" s="47"/>
      <c r="K338" t="s">
        <v>601</v>
      </c>
      <c r="O338" t="s">
        <v>606</v>
      </c>
      <c r="Q338">
        <v>19500</v>
      </c>
      <c r="S338" t="s">
        <v>14</v>
      </c>
      <c r="U338">
        <v>30</v>
      </c>
      <c r="Y338" t="s">
        <v>14</v>
      </c>
      <c r="AA338">
        <v>51000</v>
      </c>
    </row>
    <row r="339" spans="1:27" x14ac:dyDescent="0.3">
      <c r="A339" t="s">
        <v>521</v>
      </c>
      <c r="C339" t="s">
        <v>605</v>
      </c>
      <c r="E339" t="s">
        <v>604</v>
      </c>
      <c r="G339">
        <v>55</v>
      </c>
      <c r="I339">
        <v>25844</v>
      </c>
      <c r="K339" t="s">
        <v>518</v>
      </c>
      <c r="M339" t="s">
        <v>23</v>
      </c>
      <c r="O339" s="46">
        <v>17400</v>
      </c>
      <c r="P339" s="46"/>
      <c r="Q339" s="48">
        <v>75500</v>
      </c>
      <c r="R339" s="48"/>
      <c r="S339" t="s">
        <v>14</v>
      </c>
      <c r="U339">
        <v>9</v>
      </c>
      <c r="Y339" t="s">
        <v>14</v>
      </c>
      <c r="AA339">
        <v>52000</v>
      </c>
    </row>
    <row r="340" spans="1:27" x14ac:dyDescent="0.3">
      <c r="A340" t="s">
        <v>528</v>
      </c>
      <c r="C340" t="s">
        <v>603</v>
      </c>
      <c r="E340">
        <v>34000</v>
      </c>
      <c r="G340">
        <v>38</v>
      </c>
      <c r="I340" s="47">
        <v>32118</v>
      </c>
      <c r="J340" s="47"/>
      <c r="K340" t="s">
        <v>569</v>
      </c>
      <c r="M340" t="s">
        <v>15</v>
      </c>
      <c r="O340" s="46">
        <v>15800</v>
      </c>
      <c r="P340" s="46"/>
      <c r="Q340">
        <v>14500</v>
      </c>
      <c r="S340" t="s">
        <v>14</v>
      </c>
      <c r="U340">
        <v>4</v>
      </c>
      <c r="Y340" t="s">
        <v>14</v>
      </c>
      <c r="AA340">
        <v>21000</v>
      </c>
    </row>
    <row r="341" spans="1:27" x14ac:dyDescent="0.3">
      <c r="A341" t="s">
        <v>521</v>
      </c>
      <c r="C341" t="s">
        <v>602</v>
      </c>
      <c r="E341">
        <v>2200</v>
      </c>
      <c r="G341">
        <v>58</v>
      </c>
      <c r="I341">
        <v>24840</v>
      </c>
      <c r="K341" t="s">
        <v>601</v>
      </c>
      <c r="M341" t="s">
        <v>600</v>
      </c>
      <c r="O341" s="48">
        <v>2800</v>
      </c>
      <c r="P341" s="48"/>
      <c r="Q341" s="48">
        <v>35000</v>
      </c>
      <c r="R341" s="48"/>
      <c r="S341" t="s">
        <v>14</v>
      </c>
      <c r="U341">
        <v>36</v>
      </c>
      <c r="Y341" t="s">
        <v>14</v>
      </c>
      <c r="AA341">
        <v>9000</v>
      </c>
    </row>
    <row r="342" spans="1:27" x14ac:dyDescent="0.3">
      <c r="A342" t="s">
        <v>521</v>
      </c>
      <c r="C342" t="s">
        <v>599</v>
      </c>
      <c r="E342" t="s">
        <v>598</v>
      </c>
      <c r="I342" s="47">
        <v>35600</v>
      </c>
      <c r="J342" s="47"/>
      <c r="K342" t="s">
        <v>543</v>
      </c>
      <c r="M342" t="s">
        <v>597</v>
      </c>
      <c r="O342">
        <v>9600</v>
      </c>
      <c r="Q342" s="48">
        <v>41000</v>
      </c>
      <c r="R342" s="48"/>
      <c r="S342" t="s">
        <v>14</v>
      </c>
      <c r="U342">
        <v>27</v>
      </c>
      <c r="Y342" t="s">
        <v>14</v>
      </c>
      <c r="AA342">
        <v>25000</v>
      </c>
    </row>
    <row r="343" spans="1:27" x14ac:dyDescent="0.3">
      <c r="A343" t="s">
        <v>528</v>
      </c>
      <c r="C343" t="s">
        <v>596</v>
      </c>
      <c r="E343">
        <v>11600</v>
      </c>
      <c r="I343">
        <v>32890</v>
      </c>
      <c r="K343" t="s">
        <v>595</v>
      </c>
      <c r="M343" t="s">
        <v>594</v>
      </c>
      <c r="O343" s="46">
        <v>28100</v>
      </c>
      <c r="P343" s="46"/>
      <c r="Q343" s="46">
        <v>36500</v>
      </c>
      <c r="R343" s="46"/>
      <c r="S343" t="s">
        <v>14</v>
      </c>
      <c r="U343">
        <v>13</v>
      </c>
      <c r="Y343" t="s">
        <v>14</v>
      </c>
      <c r="AA343">
        <v>5000</v>
      </c>
    </row>
    <row r="344" spans="1:27" x14ac:dyDescent="0.3">
      <c r="A344" t="s">
        <v>528</v>
      </c>
      <c r="C344" t="s">
        <v>544</v>
      </c>
      <c r="E344">
        <v>20300</v>
      </c>
      <c r="G344">
        <v>46</v>
      </c>
      <c r="I344" s="47">
        <v>29427</v>
      </c>
      <c r="J344" s="47"/>
      <c r="K344" t="s">
        <v>543</v>
      </c>
      <c r="M344" t="s">
        <v>16</v>
      </c>
      <c r="Q344">
        <v>37500</v>
      </c>
      <c r="S344" t="s">
        <v>14</v>
      </c>
      <c r="Y344" t="s">
        <v>14</v>
      </c>
      <c r="AA344">
        <v>77000</v>
      </c>
    </row>
    <row r="345" spans="1:27" x14ac:dyDescent="0.3">
      <c r="A345" t="s">
        <v>528</v>
      </c>
      <c r="C345" t="s">
        <v>593</v>
      </c>
      <c r="E345" t="s">
        <v>592</v>
      </c>
      <c r="G345">
        <v>30</v>
      </c>
      <c r="I345" s="47">
        <v>35200</v>
      </c>
      <c r="J345" s="47"/>
      <c r="K345" t="s">
        <v>533</v>
      </c>
      <c r="M345" t="s">
        <v>27</v>
      </c>
      <c r="O345">
        <v>26500</v>
      </c>
      <c r="Q345">
        <v>14500</v>
      </c>
      <c r="S345">
        <v>0</v>
      </c>
      <c r="U345">
        <v>15</v>
      </c>
      <c r="Y345">
        <v>0</v>
      </c>
      <c r="AA345">
        <v>39000</v>
      </c>
    </row>
    <row r="346" spans="1:27" x14ac:dyDescent="0.3">
      <c r="A346" t="s">
        <v>521</v>
      </c>
      <c r="C346" t="s">
        <v>591</v>
      </c>
      <c r="E346" t="s">
        <v>590</v>
      </c>
      <c r="G346">
        <v>60</v>
      </c>
      <c r="I346">
        <v>24202</v>
      </c>
      <c r="K346" t="s">
        <v>559</v>
      </c>
      <c r="M346" t="s">
        <v>558</v>
      </c>
      <c r="O346" s="48">
        <v>5500</v>
      </c>
      <c r="P346" s="48"/>
      <c r="Q346">
        <v>0</v>
      </c>
      <c r="S346" t="s">
        <v>547</v>
      </c>
      <c r="U346">
        <v>26</v>
      </c>
      <c r="Y346" t="s">
        <v>547</v>
      </c>
      <c r="AA346">
        <v>52500</v>
      </c>
    </row>
    <row r="347" spans="1:27" x14ac:dyDescent="0.3">
      <c r="A347" t="s">
        <v>521</v>
      </c>
      <c r="C347" t="s">
        <v>589</v>
      </c>
      <c r="E347" t="s">
        <v>588</v>
      </c>
      <c r="G347">
        <v>43</v>
      </c>
      <c r="I347">
        <v>30437</v>
      </c>
      <c r="K347" t="s">
        <v>587</v>
      </c>
      <c r="M347" t="s">
        <v>586</v>
      </c>
      <c r="O347">
        <v>14600</v>
      </c>
      <c r="Q347">
        <v>18500</v>
      </c>
      <c r="S347" t="s">
        <v>585</v>
      </c>
      <c r="U347">
        <v>22</v>
      </c>
      <c r="Y347" t="s">
        <v>585</v>
      </c>
      <c r="AA347">
        <v>16500</v>
      </c>
    </row>
    <row r="348" spans="1:27" x14ac:dyDescent="0.3">
      <c r="A348" t="s">
        <v>581</v>
      </c>
      <c r="C348" t="s">
        <v>584</v>
      </c>
      <c r="E348">
        <v>33100</v>
      </c>
      <c r="I348">
        <v>36759</v>
      </c>
      <c r="K348" t="s">
        <v>556</v>
      </c>
      <c r="M348" t="s">
        <v>556</v>
      </c>
      <c r="O348">
        <v>23200</v>
      </c>
      <c r="Q348">
        <v>54500</v>
      </c>
      <c r="S348">
        <v>1</v>
      </c>
      <c r="U348">
        <v>26</v>
      </c>
      <c r="Y348">
        <v>1</v>
      </c>
      <c r="AA348">
        <v>39500</v>
      </c>
    </row>
    <row r="349" spans="1:27" x14ac:dyDescent="0.3">
      <c r="A349" t="s">
        <v>521</v>
      </c>
      <c r="C349" t="s">
        <v>583</v>
      </c>
      <c r="E349" t="s">
        <v>582</v>
      </c>
      <c r="G349">
        <v>53</v>
      </c>
      <c r="I349" s="47">
        <v>26584</v>
      </c>
      <c r="J349" s="47"/>
      <c r="K349" t="s">
        <v>530</v>
      </c>
      <c r="M349" t="s">
        <v>576</v>
      </c>
      <c r="O349">
        <v>12200</v>
      </c>
      <c r="Q349" s="48">
        <v>79500</v>
      </c>
      <c r="R349" s="48"/>
      <c r="S349" t="s">
        <v>547</v>
      </c>
      <c r="U349">
        <v>45</v>
      </c>
      <c r="Y349" t="s">
        <v>547</v>
      </c>
      <c r="AA349">
        <v>62000</v>
      </c>
    </row>
    <row r="350" spans="1:27" x14ac:dyDescent="0.3">
      <c r="A350" t="s">
        <v>581</v>
      </c>
      <c r="C350" t="s">
        <v>580</v>
      </c>
      <c r="E350" t="s">
        <v>579</v>
      </c>
      <c r="G350">
        <v>19</v>
      </c>
      <c r="I350" s="47">
        <v>39209</v>
      </c>
      <c r="J350" s="47"/>
      <c r="K350" t="s">
        <v>522</v>
      </c>
      <c r="M350" t="s">
        <v>550</v>
      </c>
      <c r="O350" s="48">
        <v>7200</v>
      </c>
      <c r="P350" s="48"/>
      <c r="Q350">
        <v>16000</v>
      </c>
      <c r="S350" t="s">
        <v>14</v>
      </c>
      <c r="U350">
        <v>5</v>
      </c>
      <c r="Y350" t="s">
        <v>14</v>
      </c>
      <c r="AA350">
        <v>52000</v>
      </c>
    </row>
    <row r="351" spans="1:27" x14ac:dyDescent="0.3">
      <c r="A351" t="s">
        <v>528</v>
      </c>
      <c r="C351" t="s">
        <v>578</v>
      </c>
      <c r="E351">
        <v>11700</v>
      </c>
      <c r="G351">
        <v>27</v>
      </c>
      <c r="I351">
        <v>36151</v>
      </c>
      <c r="K351" t="s">
        <v>577</v>
      </c>
      <c r="M351" t="s">
        <v>576</v>
      </c>
      <c r="O351" s="48">
        <v>25900</v>
      </c>
      <c r="P351" s="48"/>
      <c r="Q351">
        <v>0</v>
      </c>
      <c r="S351" t="s">
        <v>13</v>
      </c>
      <c r="U351">
        <v>10</v>
      </c>
      <c r="Y351" t="s">
        <v>13</v>
      </c>
      <c r="AA351">
        <v>5000</v>
      </c>
    </row>
    <row r="352" spans="1:27" x14ac:dyDescent="0.3">
      <c r="A352" t="s">
        <v>521</v>
      </c>
      <c r="C352" t="s">
        <v>575</v>
      </c>
      <c r="E352" t="s">
        <v>574</v>
      </c>
      <c r="G352">
        <v>44</v>
      </c>
      <c r="I352">
        <v>29892</v>
      </c>
      <c r="K352" t="s">
        <v>573</v>
      </c>
      <c r="M352" t="s">
        <v>572</v>
      </c>
      <c r="O352">
        <v>20600</v>
      </c>
      <c r="Q352">
        <v>8000</v>
      </c>
      <c r="S352" t="s">
        <v>14</v>
      </c>
      <c r="U352">
        <v>39</v>
      </c>
      <c r="Y352" t="s">
        <v>14</v>
      </c>
      <c r="AA352">
        <v>36000</v>
      </c>
    </row>
    <row r="353" spans="1:27" x14ac:dyDescent="0.3">
      <c r="A353" t="s">
        <v>521</v>
      </c>
      <c r="C353" t="s">
        <v>571</v>
      </c>
      <c r="E353" t="s">
        <v>570</v>
      </c>
      <c r="G353">
        <v>48</v>
      </c>
      <c r="I353">
        <v>28689</v>
      </c>
      <c r="K353" t="s">
        <v>569</v>
      </c>
      <c r="M353" t="s">
        <v>558</v>
      </c>
      <c r="O353" s="48">
        <v>18700</v>
      </c>
      <c r="P353" s="48"/>
      <c r="Q353">
        <v>11000</v>
      </c>
      <c r="S353" t="s">
        <v>14</v>
      </c>
      <c r="U353">
        <v>28</v>
      </c>
      <c r="Y353" t="s">
        <v>14</v>
      </c>
      <c r="AA353">
        <v>18000</v>
      </c>
    </row>
    <row r="354" spans="1:27" x14ac:dyDescent="0.3">
      <c r="A354" t="s">
        <v>521</v>
      </c>
      <c r="C354" t="s">
        <v>568</v>
      </c>
      <c r="E354">
        <v>8200</v>
      </c>
      <c r="G354">
        <v>20</v>
      </c>
      <c r="I354">
        <v>38894</v>
      </c>
      <c r="K354" t="s">
        <v>567</v>
      </c>
      <c r="M354" t="s">
        <v>566</v>
      </c>
      <c r="O354">
        <v>24900</v>
      </c>
      <c r="Q354">
        <v>0</v>
      </c>
      <c r="S354" t="s">
        <v>13</v>
      </c>
      <c r="U354">
        <v>14</v>
      </c>
      <c r="Y354" t="s">
        <v>13</v>
      </c>
      <c r="AA354">
        <v>49500</v>
      </c>
    </row>
    <row r="355" spans="1:27" x14ac:dyDescent="0.3">
      <c r="A355" t="s">
        <v>528</v>
      </c>
      <c r="C355" t="s">
        <v>565</v>
      </c>
      <c r="E355">
        <v>23000</v>
      </c>
      <c r="G355">
        <v>53</v>
      </c>
      <c r="I355">
        <v>26744</v>
      </c>
      <c r="K355" t="s">
        <v>564</v>
      </c>
      <c r="M355" t="s">
        <v>563</v>
      </c>
      <c r="O355" s="48">
        <v>26400</v>
      </c>
      <c r="P355" s="48"/>
      <c r="Q355">
        <v>9500</v>
      </c>
      <c r="S355" t="s">
        <v>562</v>
      </c>
      <c r="U355">
        <v>21</v>
      </c>
      <c r="Y355" t="s">
        <v>562</v>
      </c>
      <c r="AA355">
        <v>16000</v>
      </c>
    </row>
    <row r="356" spans="1:27" x14ac:dyDescent="0.3">
      <c r="A356" t="s">
        <v>528</v>
      </c>
      <c r="C356" t="s">
        <v>561</v>
      </c>
      <c r="E356" t="s">
        <v>560</v>
      </c>
      <c r="G356">
        <v>31</v>
      </c>
      <c r="I356">
        <v>34824</v>
      </c>
      <c r="K356" t="s">
        <v>559</v>
      </c>
      <c r="M356" t="s">
        <v>558</v>
      </c>
      <c r="O356" s="48">
        <v>29500</v>
      </c>
      <c r="P356" s="48"/>
      <c r="Q356">
        <v>5000</v>
      </c>
      <c r="S356" t="s">
        <v>14</v>
      </c>
      <c r="U356">
        <v>22</v>
      </c>
      <c r="Y356" t="s">
        <v>14</v>
      </c>
      <c r="AA356">
        <v>18000</v>
      </c>
    </row>
    <row r="357" spans="1:27" x14ac:dyDescent="0.3">
      <c r="A357" t="s">
        <v>521</v>
      </c>
      <c r="C357" t="s">
        <v>46</v>
      </c>
      <c r="E357" t="s">
        <v>557</v>
      </c>
      <c r="G357">
        <v>32</v>
      </c>
      <c r="I357">
        <v>34508</v>
      </c>
      <c r="K357" t="s">
        <v>556</v>
      </c>
      <c r="M357" t="s">
        <v>556</v>
      </c>
      <c r="O357">
        <v>9800</v>
      </c>
      <c r="Q357">
        <v>0</v>
      </c>
      <c r="S357" t="s">
        <v>14</v>
      </c>
      <c r="U357">
        <v>23</v>
      </c>
      <c r="Y357" t="s">
        <v>14</v>
      </c>
      <c r="AA357">
        <v>68000</v>
      </c>
    </row>
    <row r="358" spans="1:27" x14ac:dyDescent="0.3">
      <c r="A358" t="s">
        <v>528</v>
      </c>
      <c r="C358" t="s">
        <v>555</v>
      </c>
      <c r="E358" t="s">
        <v>554</v>
      </c>
      <c r="G358">
        <v>51</v>
      </c>
      <c r="I358">
        <v>27590</v>
      </c>
      <c r="K358" t="s">
        <v>522</v>
      </c>
      <c r="M358" t="s">
        <v>550</v>
      </c>
      <c r="O358" t="s">
        <v>553</v>
      </c>
      <c r="Q358">
        <v>0</v>
      </c>
      <c r="S358" t="s">
        <v>14</v>
      </c>
      <c r="U358">
        <v>17</v>
      </c>
      <c r="Y358" t="s">
        <v>14</v>
      </c>
      <c r="AA358">
        <v>55500</v>
      </c>
    </row>
    <row r="359" spans="1:27" x14ac:dyDescent="0.3">
      <c r="C359" t="s">
        <v>552</v>
      </c>
      <c r="E359" t="s">
        <v>551</v>
      </c>
      <c r="G359">
        <v>54</v>
      </c>
      <c r="I359" s="47">
        <v>26403</v>
      </c>
      <c r="J359" s="47"/>
      <c r="K359" t="s">
        <v>522</v>
      </c>
      <c r="M359" t="s">
        <v>550</v>
      </c>
      <c r="O359" t="s">
        <v>549</v>
      </c>
      <c r="Q359" t="s">
        <v>548</v>
      </c>
      <c r="S359" t="s">
        <v>547</v>
      </c>
      <c r="U359">
        <v>32</v>
      </c>
      <c r="Y359" t="s">
        <v>547</v>
      </c>
      <c r="AA359">
        <v>31500</v>
      </c>
    </row>
    <row r="360" spans="1:27" x14ac:dyDescent="0.3">
      <c r="A360" t="s">
        <v>528</v>
      </c>
      <c r="C360" t="s">
        <v>546</v>
      </c>
      <c r="E360" t="s">
        <v>545</v>
      </c>
      <c r="G360">
        <v>66</v>
      </c>
      <c r="I360" s="47">
        <v>22101</v>
      </c>
      <c r="J360" s="47"/>
      <c r="K360" t="s">
        <v>539</v>
      </c>
      <c r="M360" t="s">
        <v>27</v>
      </c>
      <c r="O360">
        <v>16800</v>
      </c>
      <c r="Q360">
        <v>79500</v>
      </c>
      <c r="S360" t="s">
        <v>14</v>
      </c>
      <c r="U360">
        <v>36</v>
      </c>
      <c r="Y360" t="s">
        <v>14</v>
      </c>
      <c r="AA360">
        <v>1500</v>
      </c>
    </row>
    <row r="361" spans="1:27" x14ac:dyDescent="0.3">
      <c r="A361" t="s">
        <v>528</v>
      </c>
      <c r="C361" t="s">
        <v>544</v>
      </c>
      <c r="E361">
        <v>20300</v>
      </c>
      <c r="G361">
        <v>46</v>
      </c>
      <c r="I361" s="47">
        <v>29427</v>
      </c>
      <c r="J361" s="47"/>
      <c r="K361" t="s">
        <v>543</v>
      </c>
      <c r="M361" t="s">
        <v>16</v>
      </c>
      <c r="Q361">
        <v>37500</v>
      </c>
      <c r="S361" t="s">
        <v>14</v>
      </c>
      <c r="Y361" t="s">
        <v>14</v>
      </c>
      <c r="AA361">
        <v>21500</v>
      </c>
    </row>
    <row r="362" spans="1:27" x14ac:dyDescent="0.3">
      <c r="A362" t="s">
        <v>521</v>
      </c>
      <c r="C362" t="s">
        <v>542</v>
      </c>
      <c r="E362" t="s">
        <v>541</v>
      </c>
      <c r="G362">
        <v>22</v>
      </c>
      <c r="I362" s="47">
        <v>38204</v>
      </c>
      <c r="J362" s="47"/>
      <c r="K362" t="s">
        <v>526</v>
      </c>
      <c r="M362" t="s">
        <v>525</v>
      </c>
      <c r="O362">
        <v>10500</v>
      </c>
      <c r="Q362" s="46">
        <v>50500</v>
      </c>
      <c r="R362" s="46"/>
      <c r="S362" t="s">
        <v>14</v>
      </c>
      <c r="U362">
        <v>16</v>
      </c>
      <c r="Y362" t="s">
        <v>14</v>
      </c>
      <c r="AA362">
        <v>41500</v>
      </c>
    </row>
    <row r="363" spans="1:27" x14ac:dyDescent="0.3">
      <c r="A363" t="s">
        <v>521</v>
      </c>
      <c r="C363" t="s">
        <v>540</v>
      </c>
      <c r="E363">
        <v>21400</v>
      </c>
      <c r="G363">
        <v>67</v>
      </c>
      <c r="I363" s="47">
        <v>21689</v>
      </c>
      <c r="J363" s="47"/>
      <c r="K363" t="s">
        <v>539</v>
      </c>
      <c r="M363" t="s">
        <v>536</v>
      </c>
      <c r="O363">
        <v>10700</v>
      </c>
      <c r="Q363" s="48">
        <v>9000</v>
      </c>
      <c r="R363" s="48"/>
      <c r="S363" t="s">
        <v>14</v>
      </c>
      <c r="U363">
        <v>37</v>
      </c>
      <c r="Y363" t="s">
        <v>14</v>
      </c>
      <c r="AA363">
        <v>53000</v>
      </c>
    </row>
    <row r="364" spans="1:27" x14ac:dyDescent="0.3">
      <c r="A364" t="s">
        <v>521</v>
      </c>
      <c r="C364" t="s">
        <v>538</v>
      </c>
      <c r="E364" t="s">
        <v>537</v>
      </c>
      <c r="G364">
        <v>53</v>
      </c>
      <c r="I364" s="47">
        <v>26790</v>
      </c>
      <c r="J364" s="47"/>
      <c r="K364" t="s">
        <v>533</v>
      </c>
      <c r="M364" t="s">
        <v>536</v>
      </c>
      <c r="O364" t="s">
        <v>535</v>
      </c>
      <c r="Q364" s="48">
        <v>21500</v>
      </c>
      <c r="R364" s="48"/>
      <c r="S364" t="s">
        <v>13</v>
      </c>
      <c r="U364">
        <v>44</v>
      </c>
      <c r="Y364" t="s">
        <v>13</v>
      </c>
      <c r="AA364">
        <v>3500</v>
      </c>
    </row>
    <row r="365" spans="1:27" x14ac:dyDescent="0.3">
      <c r="A365" t="s">
        <v>528</v>
      </c>
      <c r="C365" t="s">
        <v>534</v>
      </c>
      <c r="E365">
        <v>3200</v>
      </c>
      <c r="G365">
        <v>31</v>
      </c>
      <c r="I365">
        <v>34746</v>
      </c>
      <c r="K365" t="s">
        <v>533</v>
      </c>
      <c r="M365" t="s">
        <v>27</v>
      </c>
      <c r="O365" s="48">
        <v>18200</v>
      </c>
      <c r="P365" s="48"/>
      <c r="Q365">
        <v>78500</v>
      </c>
      <c r="S365" t="s">
        <v>14</v>
      </c>
      <c r="U365">
        <v>9</v>
      </c>
      <c r="Y365" t="s">
        <v>14</v>
      </c>
      <c r="AA365">
        <v>73000</v>
      </c>
    </row>
    <row r="366" spans="1:27" x14ac:dyDescent="0.3">
      <c r="A366" t="s">
        <v>521</v>
      </c>
      <c r="C366" t="s">
        <v>532</v>
      </c>
      <c r="E366" t="s">
        <v>531</v>
      </c>
      <c r="G366">
        <v>41</v>
      </c>
      <c r="I366">
        <v>31156</v>
      </c>
      <c r="K366" t="s">
        <v>530</v>
      </c>
      <c r="M366" t="s">
        <v>17</v>
      </c>
      <c r="O366" s="48">
        <v>26500</v>
      </c>
      <c r="P366" s="48"/>
      <c r="Q366" t="s">
        <v>529</v>
      </c>
      <c r="S366" t="s">
        <v>14</v>
      </c>
      <c r="U366">
        <v>5</v>
      </c>
      <c r="Y366" t="s">
        <v>14</v>
      </c>
      <c r="AA366">
        <v>75000</v>
      </c>
    </row>
    <row r="367" spans="1:27" x14ac:dyDescent="0.3">
      <c r="A367" t="s">
        <v>528</v>
      </c>
      <c r="C367" t="s">
        <v>527</v>
      </c>
      <c r="E367">
        <v>20600</v>
      </c>
      <c r="G367">
        <v>55</v>
      </c>
      <c r="I367">
        <v>26075</v>
      </c>
      <c r="K367" t="s">
        <v>526</v>
      </c>
      <c r="M367" t="s">
        <v>525</v>
      </c>
      <c r="O367" s="48">
        <v>21100</v>
      </c>
      <c r="P367" s="48"/>
      <c r="Q367" s="46">
        <v>67500</v>
      </c>
      <c r="R367" s="46"/>
      <c r="S367" t="s">
        <v>14</v>
      </c>
      <c r="U367">
        <v>15</v>
      </c>
      <c r="Y367" t="s">
        <v>14</v>
      </c>
      <c r="AA367">
        <v>20000</v>
      </c>
    </row>
    <row r="368" spans="1:27" x14ac:dyDescent="0.3">
      <c r="A368" t="s">
        <v>521</v>
      </c>
      <c r="C368" t="s">
        <v>524</v>
      </c>
      <c r="E368" t="s">
        <v>523</v>
      </c>
      <c r="G368">
        <v>60</v>
      </c>
      <c r="I368">
        <v>24272</v>
      </c>
      <c r="K368" t="s">
        <v>522</v>
      </c>
      <c r="M368" t="s">
        <v>23</v>
      </c>
      <c r="O368">
        <v>17300</v>
      </c>
      <c r="Q368" s="48">
        <v>15000</v>
      </c>
      <c r="R368" s="48"/>
      <c r="S368" t="s">
        <v>14</v>
      </c>
      <c r="U368">
        <v>17</v>
      </c>
      <c r="Y368" t="s">
        <v>14</v>
      </c>
      <c r="AA368">
        <v>69000</v>
      </c>
    </row>
    <row r="369" spans="1:27" x14ac:dyDescent="0.3">
      <c r="A369" t="s">
        <v>521</v>
      </c>
      <c r="C369" t="s">
        <v>520</v>
      </c>
      <c r="E369" t="s">
        <v>519</v>
      </c>
      <c r="G369">
        <v>49</v>
      </c>
      <c r="I369" s="47">
        <v>28136</v>
      </c>
      <c r="J369" s="47"/>
      <c r="K369" t="s">
        <v>518</v>
      </c>
      <c r="M369" t="s">
        <v>517</v>
      </c>
      <c r="O369">
        <v>20300</v>
      </c>
      <c r="Q369" s="46">
        <v>12000</v>
      </c>
      <c r="R369" s="46"/>
      <c r="S369" t="s">
        <v>13</v>
      </c>
      <c r="U369">
        <v>27</v>
      </c>
      <c r="Y369" t="s">
        <v>13</v>
      </c>
      <c r="AA369">
        <v>67500</v>
      </c>
    </row>
    <row r="370" spans="1:27" x14ac:dyDescent="0.3">
      <c r="A370" t="s">
        <v>171</v>
      </c>
      <c r="C370" t="s">
        <v>1238</v>
      </c>
      <c r="E370" t="s">
        <v>1239</v>
      </c>
      <c r="G370">
        <v>73</v>
      </c>
      <c r="I370" t="s">
        <v>61</v>
      </c>
      <c r="K370" t="s">
        <v>522</v>
      </c>
      <c r="M370" t="s">
        <v>550</v>
      </c>
      <c r="O370" s="46">
        <v>16500</v>
      </c>
      <c r="P370" s="46"/>
      <c r="Q370" s="48">
        <v>54000</v>
      </c>
      <c r="R370" s="48"/>
      <c r="S370" t="s">
        <v>14</v>
      </c>
      <c r="U370">
        <v>11</v>
      </c>
      <c r="Y370" t="s">
        <v>14</v>
      </c>
      <c r="AA370">
        <v>33500</v>
      </c>
    </row>
    <row r="371" spans="1:27" x14ac:dyDescent="0.3">
      <c r="A371" t="s">
        <v>521</v>
      </c>
      <c r="C371" t="s">
        <v>1240</v>
      </c>
      <c r="E371" t="s">
        <v>1241</v>
      </c>
      <c r="G371">
        <v>26</v>
      </c>
      <c r="I371" t="s">
        <v>60</v>
      </c>
      <c r="K371" t="s">
        <v>625</v>
      </c>
      <c r="M371" t="s">
        <v>624</v>
      </c>
      <c r="O371" s="48">
        <v>8900</v>
      </c>
      <c r="P371" s="48"/>
      <c r="Q371">
        <v>72000</v>
      </c>
      <c r="U371">
        <v>17</v>
      </c>
      <c r="AA371">
        <v>11000</v>
      </c>
    </row>
    <row r="372" spans="1:27" x14ac:dyDescent="0.3">
      <c r="A372" t="s">
        <v>521</v>
      </c>
      <c r="C372" t="s">
        <v>674</v>
      </c>
      <c r="E372" t="s">
        <v>1242</v>
      </c>
      <c r="G372">
        <v>33</v>
      </c>
      <c r="I372">
        <v>33892</v>
      </c>
      <c r="K372" t="s">
        <v>1243</v>
      </c>
      <c r="O372">
        <v>29200</v>
      </c>
      <c r="Q372">
        <v>3000</v>
      </c>
      <c r="S372" t="s">
        <v>13</v>
      </c>
      <c r="U372">
        <v>40</v>
      </c>
      <c r="Y372" t="s">
        <v>13</v>
      </c>
      <c r="AA372">
        <v>26000</v>
      </c>
    </row>
    <row r="373" spans="1:27" x14ac:dyDescent="0.3">
      <c r="A373" t="s">
        <v>521</v>
      </c>
      <c r="C373" t="s">
        <v>1244</v>
      </c>
      <c r="E373" t="s">
        <v>1245</v>
      </c>
      <c r="G373" t="s">
        <v>1246</v>
      </c>
      <c r="I373">
        <v>21671</v>
      </c>
      <c r="K373" t="s">
        <v>569</v>
      </c>
      <c r="M373" t="s">
        <v>621</v>
      </c>
      <c r="O373">
        <v>6500</v>
      </c>
      <c r="Q373">
        <v>42500</v>
      </c>
      <c r="S373" t="s">
        <v>13</v>
      </c>
      <c r="U373">
        <v>3</v>
      </c>
      <c r="Y373" t="s">
        <v>13</v>
      </c>
      <c r="AA373">
        <v>8000</v>
      </c>
    </row>
    <row r="374" spans="1:27" x14ac:dyDescent="0.3">
      <c r="A374" t="s">
        <v>521</v>
      </c>
      <c r="C374" t="s">
        <v>1247</v>
      </c>
      <c r="E374" s="65">
        <v>18300</v>
      </c>
      <c r="F374" s="65"/>
      <c r="G374">
        <v>72</v>
      </c>
      <c r="I374">
        <v>19801</v>
      </c>
      <c r="K374" t="s">
        <v>587</v>
      </c>
      <c r="M374" t="s">
        <v>680</v>
      </c>
      <c r="O374">
        <v>10200</v>
      </c>
      <c r="Q374">
        <v>0</v>
      </c>
      <c r="S374" t="s">
        <v>14</v>
      </c>
      <c r="U374">
        <v>27</v>
      </c>
      <c r="Y374" t="s">
        <v>14</v>
      </c>
      <c r="AA374">
        <v>99500</v>
      </c>
    </row>
    <row r="375" spans="1:27" x14ac:dyDescent="0.3">
      <c r="A375" t="s">
        <v>521</v>
      </c>
      <c r="C375" t="s">
        <v>1248</v>
      </c>
      <c r="E375" t="s">
        <v>1249</v>
      </c>
      <c r="G375">
        <v>35</v>
      </c>
      <c r="I375" t="s">
        <v>59</v>
      </c>
      <c r="K375" t="s">
        <v>625</v>
      </c>
      <c r="M375" t="s">
        <v>680</v>
      </c>
      <c r="O375" s="48">
        <v>5600</v>
      </c>
      <c r="P375" s="48"/>
      <c r="Q375">
        <v>69500</v>
      </c>
      <c r="S375" t="s">
        <v>14</v>
      </c>
      <c r="U375">
        <v>13</v>
      </c>
      <c r="Y375" t="s">
        <v>14</v>
      </c>
      <c r="AA375">
        <v>43500</v>
      </c>
    </row>
    <row r="376" spans="1:27" x14ac:dyDescent="0.3">
      <c r="A376" t="s">
        <v>521</v>
      </c>
      <c r="C376" t="s">
        <v>941</v>
      </c>
      <c r="E376" t="s">
        <v>1250</v>
      </c>
      <c r="G376">
        <v>33</v>
      </c>
      <c r="I376">
        <v>34084</v>
      </c>
      <c r="K376" t="s">
        <v>567</v>
      </c>
      <c r="M376" t="s">
        <v>576</v>
      </c>
      <c r="O376" s="48">
        <v>29700</v>
      </c>
      <c r="P376" s="48"/>
      <c r="Q376">
        <v>38000</v>
      </c>
      <c r="S376" t="s">
        <v>13</v>
      </c>
      <c r="U376">
        <v>41</v>
      </c>
      <c r="Y376" t="s">
        <v>13</v>
      </c>
      <c r="AA376">
        <v>83500</v>
      </c>
    </row>
    <row r="377" spans="1:27" x14ac:dyDescent="0.3">
      <c r="A377" t="s">
        <v>521</v>
      </c>
      <c r="C377" t="s">
        <v>1251</v>
      </c>
      <c r="E377" t="s">
        <v>1252</v>
      </c>
      <c r="G377">
        <v>58</v>
      </c>
      <c r="I377" t="s">
        <v>58</v>
      </c>
      <c r="K377" t="s">
        <v>526</v>
      </c>
      <c r="M377" t="s">
        <v>525</v>
      </c>
      <c r="O377" t="s">
        <v>1253</v>
      </c>
      <c r="Q377">
        <v>0</v>
      </c>
      <c r="S377" t="s">
        <v>14</v>
      </c>
      <c r="U377">
        <v>42</v>
      </c>
      <c r="Y377" t="s">
        <v>14</v>
      </c>
      <c r="AA377">
        <v>33000</v>
      </c>
    </row>
    <row r="378" spans="1:27" x14ac:dyDescent="0.3">
      <c r="A378" t="s">
        <v>528</v>
      </c>
      <c r="C378" t="s">
        <v>39</v>
      </c>
      <c r="E378" t="s">
        <v>917</v>
      </c>
      <c r="G378">
        <v>65</v>
      </c>
      <c r="I378">
        <v>22205</v>
      </c>
      <c r="K378" t="s">
        <v>641</v>
      </c>
      <c r="M378" t="s">
        <v>576</v>
      </c>
      <c r="O378">
        <v>19800</v>
      </c>
      <c r="Q378" s="46">
        <v>78500</v>
      </c>
      <c r="R378" s="46"/>
      <c r="S378" t="s">
        <v>14</v>
      </c>
      <c r="U378">
        <v>34</v>
      </c>
      <c r="Y378" t="s">
        <v>14</v>
      </c>
      <c r="AA378">
        <v>84000</v>
      </c>
    </row>
    <row r="379" spans="1:27" x14ac:dyDescent="0.3">
      <c r="A379" t="s">
        <v>528</v>
      </c>
      <c r="C379" t="s">
        <v>571</v>
      </c>
      <c r="E379" s="65">
        <v>8400</v>
      </c>
      <c r="F379" s="65"/>
      <c r="G379">
        <v>38</v>
      </c>
      <c r="I379" t="s">
        <v>57</v>
      </c>
      <c r="K379" t="s">
        <v>625</v>
      </c>
      <c r="M379" t="s">
        <v>624</v>
      </c>
      <c r="O379">
        <v>23600</v>
      </c>
      <c r="Q379">
        <v>0</v>
      </c>
      <c r="S379" t="s">
        <v>695</v>
      </c>
      <c r="Y379" t="s">
        <v>695</v>
      </c>
      <c r="AA379">
        <v>28500</v>
      </c>
    </row>
    <row r="380" spans="1:27" x14ac:dyDescent="0.3">
      <c r="A380" t="s">
        <v>521</v>
      </c>
      <c r="C380" t="s">
        <v>837</v>
      </c>
      <c r="E380" t="s">
        <v>1254</v>
      </c>
      <c r="G380">
        <v>60</v>
      </c>
      <c r="I380">
        <v>24100</v>
      </c>
      <c r="K380" t="s">
        <v>1255</v>
      </c>
      <c r="M380" t="s">
        <v>16</v>
      </c>
      <c r="O380" s="46">
        <v>9700</v>
      </c>
      <c r="P380" s="46"/>
      <c r="Q380" s="46">
        <v>61000</v>
      </c>
      <c r="R380" s="46"/>
      <c r="S380" t="s">
        <v>13</v>
      </c>
      <c r="U380">
        <v>9</v>
      </c>
      <c r="Y380" t="s">
        <v>13</v>
      </c>
      <c r="AA380">
        <v>88000</v>
      </c>
    </row>
    <row r="381" spans="1:27" x14ac:dyDescent="0.3">
      <c r="A381" t="s">
        <v>521</v>
      </c>
      <c r="C381" t="s">
        <v>1256</v>
      </c>
      <c r="E381" s="65">
        <v>5300</v>
      </c>
      <c r="F381" s="65"/>
      <c r="G381">
        <v>56</v>
      </c>
      <c r="I381">
        <v>25578</v>
      </c>
      <c r="K381" t="s">
        <v>564</v>
      </c>
      <c r="M381" t="s">
        <v>563</v>
      </c>
      <c r="O381" s="46">
        <v>14900</v>
      </c>
      <c r="P381" s="46"/>
      <c r="Q381">
        <v>0</v>
      </c>
      <c r="S381" t="s">
        <v>14</v>
      </c>
      <c r="U381">
        <v>13</v>
      </c>
      <c r="Y381" t="s">
        <v>14</v>
      </c>
      <c r="AA381">
        <v>71000</v>
      </c>
    </row>
    <row r="382" spans="1:27" x14ac:dyDescent="0.3">
      <c r="A382" t="s">
        <v>521</v>
      </c>
      <c r="C382" t="s">
        <v>1257</v>
      </c>
      <c r="E382" t="s">
        <v>1258</v>
      </c>
      <c r="G382">
        <v>35</v>
      </c>
      <c r="I382">
        <v>33306</v>
      </c>
      <c r="K382" t="s">
        <v>569</v>
      </c>
      <c r="M382" t="s">
        <v>657</v>
      </c>
      <c r="O382">
        <v>9700</v>
      </c>
      <c r="S382" t="s">
        <v>14</v>
      </c>
      <c r="U382">
        <v>20</v>
      </c>
      <c r="Y382" t="s">
        <v>14</v>
      </c>
      <c r="AA382">
        <v>31000</v>
      </c>
    </row>
    <row r="383" spans="1:27" x14ac:dyDescent="0.3">
      <c r="A383" t="s">
        <v>521</v>
      </c>
      <c r="C383" t="s">
        <v>1259</v>
      </c>
      <c r="E383" s="65">
        <v>7200</v>
      </c>
      <c r="F383" s="65"/>
      <c r="G383">
        <v>72</v>
      </c>
      <c r="I383" t="s">
        <v>56</v>
      </c>
      <c r="K383" t="s">
        <v>559</v>
      </c>
      <c r="M383" t="s">
        <v>558</v>
      </c>
      <c r="O383" s="46">
        <v>27100</v>
      </c>
      <c r="P383" s="46"/>
      <c r="Q383">
        <v>71000</v>
      </c>
      <c r="S383" t="s">
        <v>14</v>
      </c>
      <c r="U383">
        <v>32</v>
      </c>
      <c r="Y383" t="s">
        <v>14</v>
      </c>
      <c r="AA383">
        <v>29500</v>
      </c>
    </row>
    <row r="384" spans="1:27" x14ac:dyDescent="0.3">
      <c r="A384" t="s">
        <v>521</v>
      </c>
      <c r="C384" t="s">
        <v>1260</v>
      </c>
      <c r="E384" t="s">
        <v>1261</v>
      </c>
      <c r="G384">
        <v>52</v>
      </c>
      <c r="I384" t="s">
        <v>55</v>
      </c>
      <c r="K384" t="s">
        <v>933</v>
      </c>
      <c r="O384">
        <v>17500</v>
      </c>
      <c r="Q384">
        <v>6500</v>
      </c>
      <c r="U384">
        <v>0</v>
      </c>
      <c r="Y384">
        <v>0</v>
      </c>
      <c r="AA384">
        <v>42500</v>
      </c>
    </row>
    <row r="385" spans="1:27" x14ac:dyDescent="0.3">
      <c r="A385" t="s">
        <v>521</v>
      </c>
      <c r="C385" t="s">
        <v>1262</v>
      </c>
      <c r="E385" s="65">
        <v>3300</v>
      </c>
      <c r="F385" s="65"/>
      <c r="G385">
        <v>31</v>
      </c>
      <c r="I385" t="s">
        <v>54</v>
      </c>
      <c r="K385" t="s">
        <v>564</v>
      </c>
      <c r="M385" t="s">
        <v>563</v>
      </c>
      <c r="O385" t="s">
        <v>549</v>
      </c>
      <c r="Q385" s="46">
        <v>17500</v>
      </c>
      <c r="R385" s="46"/>
      <c r="S385" t="s">
        <v>14</v>
      </c>
      <c r="U385">
        <v>35</v>
      </c>
      <c r="Y385" t="s">
        <v>14</v>
      </c>
      <c r="AA385">
        <v>58000</v>
      </c>
    </row>
    <row r="386" spans="1:27" x14ac:dyDescent="0.3">
      <c r="A386" t="s">
        <v>521</v>
      </c>
      <c r="C386" t="s">
        <v>1262</v>
      </c>
      <c r="E386" s="65">
        <v>3300</v>
      </c>
      <c r="F386" s="65"/>
      <c r="G386">
        <v>31</v>
      </c>
      <c r="I386" t="s">
        <v>54</v>
      </c>
      <c r="K386" t="s">
        <v>564</v>
      </c>
      <c r="M386" t="s">
        <v>563</v>
      </c>
      <c r="O386" t="s">
        <v>549</v>
      </c>
      <c r="Q386" s="46">
        <v>17500</v>
      </c>
      <c r="R386" s="46"/>
      <c r="S386" t="s">
        <v>14</v>
      </c>
      <c r="U386">
        <v>35</v>
      </c>
      <c r="Y386" t="s">
        <v>14</v>
      </c>
      <c r="AA386">
        <v>58000</v>
      </c>
    </row>
    <row r="387" spans="1:27" x14ac:dyDescent="0.3">
      <c r="A387" t="s">
        <v>521</v>
      </c>
      <c r="C387" t="s">
        <v>1263</v>
      </c>
      <c r="E387" s="65">
        <v>25500</v>
      </c>
      <c r="F387" s="65"/>
      <c r="G387">
        <v>70</v>
      </c>
      <c r="I387" t="s">
        <v>53</v>
      </c>
      <c r="K387" t="s">
        <v>1264</v>
      </c>
      <c r="O387" s="48">
        <v>15800</v>
      </c>
      <c r="P387" s="48"/>
      <c r="Q387" t="s">
        <v>947</v>
      </c>
      <c r="S387" t="s">
        <v>14</v>
      </c>
      <c r="U387">
        <v>18</v>
      </c>
      <c r="Y387" t="s">
        <v>14</v>
      </c>
      <c r="AA387">
        <v>91000</v>
      </c>
    </row>
    <row r="388" spans="1:27" x14ac:dyDescent="0.3">
      <c r="A388" t="s">
        <v>172</v>
      </c>
      <c r="C388" t="s">
        <v>1265</v>
      </c>
      <c r="E388" t="s">
        <v>1266</v>
      </c>
      <c r="G388">
        <v>57</v>
      </c>
      <c r="I388" t="s">
        <v>52</v>
      </c>
      <c r="K388" t="s">
        <v>522</v>
      </c>
      <c r="M388" t="s">
        <v>550</v>
      </c>
      <c r="O388" s="48">
        <v>26300</v>
      </c>
      <c r="P388" s="48"/>
      <c r="Q388">
        <v>75500</v>
      </c>
      <c r="S388" t="s">
        <v>13</v>
      </c>
      <c r="U388">
        <v>25</v>
      </c>
      <c r="Y388" t="s">
        <v>13</v>
      </c>
      <c r="AA388">
        <v>44000</v>
      </c>
    </row>
    <row r="389" spans="1:27" x14ac:dyDescent="0.3">
      <c r="A389" t="s">
        <v>521</v>
      </c>
      <c r="C389" t="s">
        <v>1267</v>
      </c>
      <c r="E389" t="s">
        <v>1268</v>
      </c>
      <c r="G389">
        <v>28</v>
      </c>
      <c r="I389">
        <v>35948</v>
      </c>
      <c r="K389" t="s">
        <v>1018</v>
      </c>
      <c r="O389">
        <v>14600</v>
      </c>
      <c r="Q389" s="48">
        <v>23000</v>
      </c>
      <c r="R389" s="48"/>
      <c r="U389">
        <v>1</v>
      </c>
      <c r="Y389">
        <v>1</v>
      </c>
      <c r="AA389">
        <v>99000</v>
      </c>
    </row>
    <row r="390" spans="1:27" x14ac:dyDescent="0.3">
      <c r="A390" t="s">
        <v>521</v>
      </c>
      <c r="C390" t="s">
        <v>1269</v>
      </c>
      <c r="E390" t="s">
        <v>1270</v>
      </c>
      <c r="G390">
        <v>50</v>
      </c>
      <c r="I390">
        <v>27729</v>
      </c>
      <c r="K390" t="s">
        <v>625</v>
      </c>
      <c r="M390" t="s">
        <v>624</v>
      </c>
      <c r="O390">
        <v>22800</v>
      </c>
      <c r="Q390" s="46">
        <v>70000</v>
      </c>
      <c r="R390" s="46"/>
      <c r="S390" t="s">
        <v>13</v>
      </c>
      <c r="U390">
        <v>14</v>
      </c>
      <c r="Y390" t="s">
        <v>13</v>
      </c>
      <c r="AA390">
        <v>25500</v>
      </c>
    </row>
    <row r="391" spans="1:27" x14ac:dyDescent="0.3">
      <c r="A391" t="s">
        <v>528</v>
      </c>
      <c r="C391" t="s">
        <v>731</v>
      </c>
      <c r="E391" t="s">
        <v>1271</v>
      </c>
      <c r="G391">
        <v>68</v>
      </c>
      <c r="I391" t="s">
        <v>51</v>
      </c>
      <c r="K391" t="s">
        <v>641</v>
      </c>
      <c r="M391" t="s">
        <v>17</v>
      </c>
      <c r="O391">
        <v>2800</v>
      </c>
      <c r="Q391">
        <v>76000</v>
      </c>
      <c r="S391" t="s">
        <v>14</v>
      </c>
      <c r="U391" t="s">
        <v>1272</v>
      </c>
      <c r="Y391" t="s">
        <v>14</v>
      </c>
      <c r="AA391">
        <v>27000</v>
      </c>
    </row>
    <row r="392" spans="1:27" x14ac:dyDescent="0.3">
      <c r="A392" t="s">
        <v>521</v>
      </c>
      <c r="C392" t="s">
        <v>1273</v>
      </c>
      <c r="E392" t="s">
        <v>1274</v>
      </c>
      <c r="G392">
        <v>40</v>
      </c>
      <c r="I392" t="s">
        <v>50</v>
      </c>
      <c r="K392" t="s">
        <v>672</v>
      </c>
      <c r="O392" s="48">
        <v>21300</v>
      </c>
      <c r="P392" s="48"/>
      <c r="Q392" s="48">
        <v>48500</v>
      </c>
      <c r="R392" s="48"/>
      <c r="S392" t="s">
        <v>14</v>
      </c>
      <c r="U392">
        <v>6</v>
      </c>
      <c r="Y392" t="s">
        <v>14</v>
      </c>
      <c r="AA392">
        <v>62500</v>
      </c>
    </row>
    <row r="393" spans="1:27" x14ac:dyDescent="0.3">
      <c r="C393" t="s">
        <v>552</v>
      </c>
      <c r="E393" t="s">
        <v>1275</v>
      </c>
      <c r="G393">
        <v>61</v>
      </c>
      <c r="I393">
        <v>23834</v>
      </c>
      <c r="K393" t="s">
        <v>522</v>
      </c>
      <c r="M393" t="s">
        <v>550</v>
      </c>
      <c r="O393" s="46">
        <v>9100</v>
      </c>
      <c r="P393" s="46"/>
      <c r="Q393" t="s">
        <v>1276</v>
      </c>
      <c r="S393" t="s">
        <v>14</v>
      </c>
      <c r="U393">
        <v>1</v>
      </c>
      <c r="Y393" t="s">
        <v>14</v>
      </c>
      <c r="AA393">
        <v>48000</v>
      </c>
    </row>
    <row r="394" spans="1:27" x14ac:dyDescent="0.3">
      <c r="A394" t="s">
        <v>521</v>
      </c>
      <c r="C394" t="s">
        <v>1277</v>
      </c>
      <c r="E394" t="s">
        <v>1278</v>
      </c>
      <c r="G394">
        <v>45</v>
      </c>
      <c r="I394" t="s">
        <v>49</v>
      </c>
      <c r="K394" t="s">
        <v>1243</v>
      </c>
      <c r="M394" t="s">
        <v>27</v>
      </c>
      <c r="O394">
        <v>16200</v>
      </c>
      <c r="Q394">
        <v>59000</v>
      </c>
      <c r="S394" t="s">
        <v>14</v>
      </c>
      <c r="U394">
        <v>4</v>
      </c>
      <c r="Y394" t="s">
        <v>14</v>
      </c>
      <c r="AA394">
        <v>73500</v>
      </c>
    </row>
    <row r="395" spans="1:27" x14ac:dyDescent="0.3">
      <c r="A395" t="s">
        <v>528</v>
      </c>
      <c r="C395" t="s">
        <v>1279</v>
      </c>
      <c r="E395" t="s">
        <v>1280</v>
      </c>
      <c r="G395">
        <v>62</v>
      </c>
      <c r="I395">
        <v>23358</v>
      </c>
      <c r="K395" t="s">
        <v>518</v>
      </c>
      <c r="M395" t="s">
        <v>550</v>
      </c>
      <c r="O395">
        <v>14600</v>
      </c>
      <c r="Q395">
        <v>15500</v>
      </c>
      <c r="U395">
        <v>2</v>
      </c>
      <c r="AA395">
        <v>2500</v>
      </c>
    </row>
    <row r="396" spans="1:27" x14ac:dyDescent="0.3">
      <c r="A396" t="s">
        <v>521</v>
      </c>
      <c r="C396" t="s">
        <v>674</v>
      </c>
      <c r="E396" t="s">
        <v>673</v>
      </c>
      <c r="G396">
        <v>39</v>
      </c>
      <c r="I396" t="s">
        <v>48</v>
      </c>
      <c r="K396" t="s">
        <v>672</v>
      </c>
      <c r="O396">
        <v>8000</v>
      </c>
      <c r="Q396" s="46">
        <v>69000</v>
      </c>
      <c r="R396" s="46"/>
      <c r="S396" t="s">
        <v>14</v>
      </c>
      <c r="U396">
        <v>15</v>
      </c>
      <c r="Y396" t="s">
        <v>14</v>
      </c>
      <c r="AA396">
        <v>6500</v>
      </c>
    </row>
    <row r="397" spans="1:27" x14ac:dyDescent="0.3">
      <c r="A397" t="s">
        <v>521</v>
      </c>
      <c r="C397" t="s">
        <v>1281</v>
      </c>
      <c r="E397" s="65">
        <v>29000</v>
      </c>
      <c r="F397" s="65"/>
      <c r="G397">
        <v>50</v>
      </c>
      <c r="K397" t="s">
        <v>1255</v>
      </c>
      <c r="M397" t="s">
        <v>597</v>
      </c>
      <c r="O397" s="48">
        <v>23100</v>
      </c>
      <c r="P397" s="48"/>
      <c r="Q397" s="48">
        <v>55000</v>
      </c>
      <c r="R397" s="48"/>
      <c r="S397" t="s">
        <v>14</v>
      </c>
      <c r="U397">
        <v>9</v>
      </c>
      <c r="Y397" t="s">
        <v>14</v>
      </c>
      <c r="AA397">
        <v>17000</v>
      </c>
    </row>
    <row r="398" spans="1:27" x14ac:dyDescent="0.3">
      <c r="A398" t="s">
        <v>528</v>
      </c>
      <c r="C398" t="s">
        <v>685</v>
      </c>
      <c r="E398" s="65">
        <v>16600</v>
      </c>
      <c r="F398" s="65"/>
      <c r="G398">
        <v>35</v>
      </c>
      <c r="I398">
        <v>33417</v>
      </c>
      <c r="K398" t="s">
        <v>518</v>
      </c>
      <c r="M398" t="s">
        <v>517</v>
      </c>
      <c r="O398" s="48">
        <v>12400</v>
      </c>
      <c r="P398" s="48"/>
      <c r="Q398">
        <v>36000</v>
      </c>
      <c r="S398" t="s">
        <v>14</v>
      </c>
      <c r="U398">
        <v>3</v>
      </c>
      <c r="Y398" t="s">
        <v>14</v>
      </c>
      <c r="AA398">
        <v>71500</v>
      </c>
    </row>
    <row r="399" spans="1:27" x14ac:dyDescent="0.3">
      <c r="C399" t="s">
        <v>1282</v>
      </c>
      <c r="E399" s="65">
        <v>14500</v>
      </c>
      <c r="F399" s="65"/>
      <c r="G399">
        <v>64</v>
      </c>
      <c r="I399" t="s">
        <v>47</v>
      </c>
      <c r="K399" t="s">
        <v>948</v>
      </c>
      <c r="O399" s="48">
        <v>9400</v>
      </c>
      <c r="P399" s="48"/>
      <c r="Q399" t="s">
        <v>130</v>
      </c>
      <c r="S399" t="s">
        <v>14</v>
      </c>
      <c r="U399">
        <v>9</v>
      </c>
      <c r="Y399" t="s">
        <v>14</v>
      </c>
      <c r="AA399">
        <v>14500</v>
      </c>
    </row>
    <row r="400" spans="1:27" x14ac:dyDescent="0.3">
      <c r="A400" t="s">
        <v>521</v>
      </c>
      <c r="C400" t="s">
        <v>1283</v>
      </c>
      <c r="E400" t="s">
        <v>1284</v>
      </c>
      <c r="G400">
        <v>36</v>
      </c>
      <c r="I400">
        <v>32908</v>
      </c>
      <c r="K400" t="s">
        <v>539</v>
      </c>
      <c r="M400" t="s">
        <v>536</v>
      </c>
      <c r="O400" t="s">
        <v>1285</v>
      </c>
      <c r="Q400">
        <v>23500</v>
      </c>
      <c r="S400" t="s">
        <v>14</v>
      </c>
      <c r="U400">
        <v>10</v>
      </c>
      <c r="Y400" t="s">
        <v>14</v>
      </c>
      <c r="AA400">
        <v>21500</v>
      </c>
    </row>
    <row r="401" spans="1:27" x14ac:dyDescent="0.3">
      <c r="A401" t="s">
        <v>521</v>
      </c>
      <c r="C401" t="s">
        <v>1286</v>
      </c>
      <c r="E401" s="65">
        <v>1800</v>
      </c>
      <c r="F401" s="65"/>
      <c r="G401">
        <v>26</v>
      </c>
      <c r="I401">
        <v>36757</v>
      </c>
      <c r="K401" t="s">
        <v>522</v>
      </c>
      <c r="M401" t="s">
        <v>23</v>
      </c>
      <c r="O401">
        <v>18400</v>
      </c>
      <c r="Q401">
        <v>0</v>
      </c>
      <c r="S401" t="s">
        <v>13</v>
      </c>
      <c r="U401">
        <v>31</v>
      </c>
      <c r="Y401" t="s">
        <v>13</v>
      </c>
      <c r="AA401">
        <v>89500</v>
      </c>
    </row>
    <row r="402" spans="1:27" x14ac:dyDescent="0.3">
      <c r="A402" t="s">
        <v>528</v>
      </c>
      <c r="C402" t="s">
        <v>1202</v>
      </c>
      <c r="E402" t="s">
        <v>1201</v>
      </c>
      <c r="G402">
        <v>47</v>
      </c>
      <c r="I402">
        <v>29064</v>
      </c>
      <c r="K402" t="s">
        <v>1255</v>
      </c>
      <c r="M402" t="s">
        <v>597</v>
      </c>
      <c r="O402">
        <v>13300</v>
      </c>
      <c r="Q402">
        <v>1000</v>
      </c>
      <c r="S402" t="s">
        <v>13</v>
      </c>
      <c r="U402">
        <v>24</v>
      </c>
      <c r="Y402" t="s">
        <v>13</v>
      </c>
      <c r="AA402">
        <v>39500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2ADA-53B5-4D2D-9DD1-B5F355E68B45}">
  <dimension ref="A1:E24"/>
  <sheetViews>
    <sheetView workbookViewId="0">
      <selection activeCell="B12" sqref="B12"/>
    </sheetView>
  </sheetViews>
  <sheetFormatPr defaultColWidth="9" defaultRowHeight="14.4" x14ac:dyDescent="0.3"/>
  <cols>
    <col min="1" max="1" width="25.21875" bestFit="1" customWidth="1"/>
    <col min="2" max="2" width="111.5546875" bestFit="1" customWidth="1"/>
    <col min="3" max="3" width="255.77734375" bestFit="1" customWidth="1"/>
    <col min="4" max="4" width="196.77734375" bestFit="1" customWidth="1"/>
    <col min="5" max="5" width="9.6640625" bestFit="1" customWidth="1"/>
  </cols>
  <sheetData>
    <row r="1" spans="1:5" x14ac:dyDescent="0.3">
      <c r="A1" s="41" t="s">
        <v>125</v>
      </c>
      <c r="B1" s="41" t="s">
        <v>124</v>
      </c>
      <c r="C1" s="41" t="s">
        <v>126</v>
      </c>
      <c r="D1" s="41" t="s">
        <v>499</v>
      </c>
      <c r="E1" s="64" t="s">
        <v>1289</v>
      </c>
    </row>
    <row r="2" spans="1:5" x14ac:dyDescent="0.3">
      <c r="A2" s="21" t="s">
        <v>0</v>
      </c>
      <c r="B2" s="16" t="s">
        <v>500</v>
      </c>
      <c r="C2" s="16" t="s">
        <v>1291</v>
      </c>
      <c r="D2" s="16" t="s">
        <v>1292</v>
      </c>
      <c r="E2" s="16" t="s">
        <v>1290</v>
      </c>
    </row>
    <row r="3" spans="1:5" x14ac:dyDescent="0.3">
      <c r="A3" s="16" t="s">
        <v>1</v>
      </c>
      <c r="B3" s="16" t="s">
        <v>501</v>
      </c>
      <c r="C3" s="16" t="s">
        <v>1293</v>
      </c>
      <c r="D3" s="16" t="s">
        <v>1294</v>
      </c>
      <c r="E3" s="16" t="s">
        <v>1290</v>
      </c>
    </row>
    <row r="4" spans="1:5" x14ac:dyDescent="0.3">
      <c r="A4" s="16" t="s">
        <v>2</v>
      </c>
      <c r="B4" s="16" t="s">
        <v>502</v>
      </c>
      <c r="C4" s="16" t="s">
        <v>514</v>
      </c>
      <c r="D4" s="16" t="s">
        <v>513</v>
      </c>
      <c r="E4" s="16" t="s">
        <v>1290</v>
      </c>
    </row>
    <row r="5" spans="1:5" x14ac:dyDescent="0.3">
      <c r="A5" s="16" t="s">
        <v>4</v>
      </c>
      <c r="B5" s="16" t="s">
        <v>502</v>
      </c>
      <c r="C5" s="16" t="s">
        <v>515</v>
      </c>
      <c r="D5" s="16"/>
      <c r="E5" s="16" t="s">
        <v>1290</v>
      </c>
    </row>
    <row r="6" spans="1:5" x14ac:dyDescent="0.3">
      <c r="A6" s="16" t="s">
        <v>3</v>
      </c>
      <c r="B6" s="16" t="s">
        <v>503</v>
      </c>
      <c r="C6" s="16" t="s">
        <v>1300</v>
      </c>
      <c r="D6" s="16" t="s">
        <v>1301</v>
      </c>
      <c r="E6" s="16" t="s">
        <v>1290</v>
      </c>
    </row>
    <row r="7" spans="1:5" x14ac:dyDescent="0.3">
      <c r="A7" s="16" t="s">
        <v>11</v>
      </c>
      <c r="B7" s="16" t="s">
        <v>504</v>
      </c>
      <c r="C7" s="16" t="s">
        <v>1302</v>
      </c>
      <c r="D7" s="16" t="s">
        <v>1303</v>
      </c>
      <c r="E7" s="16" t="s">
        <v>1290</v>
      </c>
    </row>
    <row r="8" spans="1:5" x14ac:dyDescent="0.3">
      <c r="A8" s="16" t="s">
        <v>7</v>
      </c>
      <c r="B8" s="16" t="s">
        <v>506</v>
      </c>
      <c r="C8" s="16" t="s">
        <v>1305</v>
      </c>
      <c r="D8" s="16" t="s">
        <v>1304</v>
      </c>
      <c r="E8" s="16" t="s">
        <v>1290</v>
      </c>
    </row>
    <row r="9" spans="1:5" x14ac:dyDescent="0.3">
      <c r="A9" s="16" t="s">
        <v>8</v>
      </c>
      <c r="B9" s="16" t="s">
        <v>505</v>
      </c>
      <c r="C9" s="16" t="s">
        <v>1306</v>
      </c>
      <c r="D9" s="16" t="s">
        <v>1304</v>
      </c>
      <c r="E9" s="16" t="s">
        <v>1290</v>
      </c>
    </row>
    <row r="10" spans="1:5" x14ac:dyDescent="0.3">
      <c r="A10" s="16" t="s">
        <v>6</v>
      </c>
      <c r="B10" s="16" t="s">
        <v>1307</v>
      </c>
      <c r="C10" s="16" t="s">
        <v>1308</v>
      </c>
      <c r="D10" s="16" t="s">
        <v>1309</v>
      </c>
      <c r="E10" s="16" t="s">
        <v>1290</v>
      </c>
    </row>
    <row r="11" spans="1:5" x14ac:dyDescent="0.3">
      <c r="A11" s="16" t="s">
        <v>5</v>
      </c>
      <c r="B11" s="16" t="s">
        <v>507</v>
      </c>
      <c r="C11" s="16" t="s">
        <v>1310</v>
      </c>
      <c r="D11" s="16" t="s">
        <v>1311</v>
      </c>
      <c r="E11" s="16" t="s">
        <v>1290</v>
      </c>
    </row>
    <row r="12" spans="1:5" x14ac:dyDescent="0.3">
      <c r="A12" s="16" t="s">
        <v>9</v>
      </c>
      <c r="B12" s="16" t="s">
        <v>508</v>
      </c>
      <c r="C12" s="16" t="s">
        <v>1312</v>
      </c>
      <c r="D12" s="16" t="s">
        <v>1313</v>
      </c>
      <c r="E12" s="16" t="s">
        <v>1290</v>
      </c>
    </row>
    <row r="13" spans="1:5" x14ac:dyDescent="0.3">
      <c r="A13" s="16" t="s">
        <v>12</v>
      </c>
      <c r="B13" s="16" t="s">
        <v>505</v>
      </c>
      <c r="C13" s="16" t="s">
        <v>1314</v>
      </c>
      <c r="D13" s="16" t="s">
        <v>1315</v>
      </c>
      <c r="E13" s="16" t="s">
        <v>1290</v>
      </c>
    </row>
    <row r="14" spans="1:5" x14ac:dyDescent="0.3">
      <c r="A14" s="16" t="s">
        <v>10</v>
      </c>
      <c r="B14" s="16" t="s">
        <v>509</v>
      </c>
      <c r="C14" s="16" t="s">
        <v>510</v>
      </c>
      <c r="D14" s="16" t="s">
        <v>1316</v>
      </c>
      <c r="E14" s="16" t="s">
        <v>1320</v>
      </c>
    </row>
    <row r="15" spans="1:5" x14ac:dyDescent="0.3">
      <c r="A15" s="39" t="s">
        <v>63</v>
      </c>
      <c r="B15" s="16" t="s">
        <v>1317</v>
      </c>
      <c r="C15" s="16" t="s">
        <v>511</v>
      </c>
      <c r="D15" s="16" t="s">
        <v>1321</v>
      </c>
      <c r="E15" s="16" t="s">
        <v>1320</v>
      </c>
    </row>
    <row r="16" spans="1:5" x14ac:dyDescent="0.3">
      <c r="A16" s="40" t="s">
        <v>64</v>
      </c>
      <c r="B16" s="16" t="s">
        <v>1318</v>
      </c>
      <c r="C16" s="16" t="s">
        <v>1322</v>
      </c>
      <c r="D16" s="16" t="s">
        <v>1323</v>
      </c>
      <c r="E16" s="16" t="s">
        <v>1320</v>
      </c>
    </row>
    <row r="17" spans="1:5" x14ac:dyDescent="0.3">
      <c r="A17" s="39" t="s">
        <v>65</v>
      </c>
      <c r="B17" s="16" t="s">
        <v>1319</v>
      </c>
      <c r="C17" s="16" t="s">
        <v>512</v>
      </c>
      <c r="D17" s="16" t="s">
        <v>1324</v>
      </c>
      <c r="E17" s="16" t="s">
        <v>1320</v>
      </c>
    </row>
    <row r="18" spans="1:5" x14ac:dyDescent="0.3">
      <c r="A18" s="16" t="s">
        <v>516</v>
      </c>
      <c r="B18" s="16"/>
      <c r="C18" s="16" t="s">
        <v>1325</v>
      </c>
      <c r="D18" s="16" t="s">
        <v>1326</v>
      </c>
      <c r="E18" s="16" t="s">
        <v>1320</v>
      </c>
    </row>
    <row r="19" spans="1:5" x14ac:dyDescent="0.3">
      <c r="A19" s="21" t="s">
        <v>0</v>
      </c>
      <c r="B19" s="16" t="s">
        <v>1295</v>
      </c>
      <c r="C19" s="16" t="s">
        <v>1296</v>
      </c>
      <c r="D19" s="16" t="s">
        <v>1298</v>
      </c>
      <c r="E19" s="16" t="s">
        <v>1297</v>
      </c>
    </row>
    <row r="20" spans="1:5" x14ac:dyDescent="0.3">
      <c r="A20" s="16"/>
      <c r="B20" s="16"/>
      <c r="C20" s="16"/>
      <c r="D20" s="16"/>
      <c r="E20" s="16"/>
    </row>
    <row r="21" spans="1:5" x14ac:dyDescent="0.3">
      <c r="A21" s="16"/>
      <c r="B21" s="16"/>
      <c r="C21" s="16"/>
      <c r="D21" s="16"/>
      <c r="E21" s="16"/>
    </row>
    <row r="22" spans="1:5" x14ac:dyDescent="0.3">
      <c r="A22" s="16"/>
      <c r="B22" s="16"/>
      <c r="C22" s="16"/>
      <c r="D22" s="16"/>
      <c r="E22" s="16"/>
    </row>
    <row r="23" spans="1:5" x14ac:dyDescent="0.3">
      <c r="A23" s="16"/>
      <c r="B23" s="16"/>
      <c r="C23" s="16"/>
      <c r="D23" s="16"/>
      <c r="E23" s="16"/>
    </row>
    <row r="24" spans="1:5" x14ac:dyDescent="0.3">
      <c r="A24" s="16"/>
      <c r="B24" s="16"/>
      <c r="C24" s="16"/>
      <c r="D24" s="16"/>
      <c r="E24" s="16"/>
    </row>
  </sheetData>
  <autoFilter ref="A1:B18" xr:uid="{5F5A2ADA-53B5-4D2D-9DD1-B5F355E68B45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4B4E5-84C3-4E6C-8ACC-5E67953D539F}">
  <dimension ref="A1:F16"/>
  <sheetViews>
    <sheetView tabSelected="1" workbookViewId="0">
      <selection activeCell="J14" sqref="J14"/>
    </sheetView>
  </sheetViews>
  <sheetFormatPr defaultRowHeight="14.4" x14ac:dyDescent="0.3"/>
  <cols>
    <col min="1" max="1" width="30.5546875" style="42" customWidth="1"/>
    <col min="2" max="2" width="14.77734375" style="42" customWidth="1"/>
    <col min="3" max="3" width="20" style="42" customWidth="1"/>
    <col min="4" max="4" width="10.33203125" style="42" customWidth="1"/>
    <col min="5" max="5" width="19.88671875" style="42" customWidth="1"/>
    <col min="6" max="16384" width="8.88671875" style="42"/>
  </cols>
  <sheetData>
    <row r="1" spans="1:6" x14ac:dyDescent="0.3">
      <c r="A1" s="50" t="s">
        <v>1233</v>
      </c>
      <c r="B1" s="50" t="s">
        <v>1234</v>
      </c>
      <c r="C1" s="50" t="s">
        <v>1235</v>
      </c>
      <c r="D1" s="50" t="s">
        <v>1236</v>
      </c>
      <c r="E1" s="50" t="s">
        <v>1237</v>
      </c>
      <c r="F1" s="50"/>
    </row>
    <row r="2" spans="1:6" ht="46.2" customHeight="1" x14ac:dyDescent="0.3">
      <c r="A2" s="49" t="s">
        <v>1329</v>
      </c>
      <c r="B2" s="51" t="s">
        <v>1287</v>
      </c>
      <c r="C2" s="66" t="s">
        <v>1327</v>
      </c>
      <c r="D2" s="51" t="s">
        <v>1288</v>
      </c>
      <c r="E2" s="67" t="s">
        <v>1328</v>
      </c>
    </row>
    <row r="3" spans="1:6" x14ac:dyDescent="0.3">
      <c r="E3" s="68"/>
    </row>
    <row r="4" spans="1:6" x14ac:dyDescent="0.3">
      <c r="E4" s="68"/>
    </row>
    <row r="5" spans="1:6" x14ac:dyDescent="0.3">
      <c r="E5" s="68"/>
    </row>
    <row r="6" spans="1:6" x14ac:dyDescent="0.3">
      <c r="E6" s="68"/>
    </row>
    <row r="7" spans="1:6" x14ac:dyDescent="0.3">
      <c r="E7" s="68"/>
    </row>
    <row r="8" spans="1:6" x14ac:dyDescent="0.3">
      <c r="E8" s="68"/>
    </row>
    <row r="9" spans="1:6" x14ac:dyDescent="0.3">
      <c r="E9" s="68"/>
    </row>
    <row r="10" spans="1:6" x14ac:dyDescent="0.3">
      <c r="E10" s="68"/>
    </row>
    <row r="11" spans="1:6" x14ac:dyDescent="0.3">
      <c r="E11" s="68"/>
    </row>
    <row r="12" spans="1:6" x14ac:dyDescent="0.3">
      <c r="E12" s="68"/>
    </row>
    <row r="13" spans="1:6" x14ac:dyDescent="0.3">
      <c r="E13" s="68"/>
    </row>
    <row r="14" spans="1:6" x14ac:dyDescent="0.3">
      <c r="E14" s="68"/>
    </row>
    <row r="15" spans="1:6" x14ac:dyDescent="0.3">
      <c r="E15" s="68"/>
    </row>
    <row r="16" spans="1:6" x14ac:dyDescent="0.3">
      <c r="E16" s="69"/>
    </row>
  </sheetData>
  <mergeCells count="1">
    <mergeCell ref="E2:E16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Ex.excel01</vt:lpstr>
      <vt:lpstr>Ex.excel02</vt:lpstr>
      <vt:lpstr>Ex.excel03</vt:lpstr>
      <vt:lpstr>Ex.excel04</vt:lpstr>
      <vt:lpstr>Game_of_throne_Dados_Limpos</vt:lpstr>
      <vt:lpstr>Game of Throne_Dados_Brutos</vt:lpstr>
      <vt:lpstr>Registro_de_Limpeza</vt:lpstr>
      <vt:lpstr>Análise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Longaray</dc:creator>
  <cp:lastModifiedBy>Leonardo Longaray</cp:lastModifiedBy>
  <dcterms:created xsi:type="dcterms:W3CDTF">2026-09-08T21:08:36Z</dcterms:created>
  <dcterms:modified xsi:type="dcterms:W3CDTF">2026-09-11T23:43:13Z</dcterms:modified>
</cp:coreProperties>
</file>